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customXml/itemProps1.xml" ContentType="application/vnd.openxmlformats-officedocument.customXm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backupFile="1" codeName="EstaPasta_de_trabalho" hidePivotFieldList="1" defaultThemeVersion="124226"/>
  <bookViews>
    <workbookView xWindow="1410" yWindow="180" windowWidth="10020" windowHeight="11640"/>
  </bookViews>
  <sheets>
    <sheet name="DCRC_Custos_Area" sheetId="1" r:id="rId1"/>
  </sheets>
  <externalReferences>
    <externalReference r:id="rId2"/>
  </externalReferences>
  <definedNames>
    <definedName name="Print_Area" localSheetId="0">DCRC_Custos_Area!$D$2</definedName>
  </definedNames>
  <calcPr calcId="125725"/>
</workbook>
</file>

<file path=xl/calcChain.xml><?xml version="1.0" encoding="utf-8"?>
<calcChain xmlns="http://schemas.openxmlformats.org/spreadsheetml/2006/main">
  <c r="AA26" i="1"/>
  <c r="AA25"/>
  <c r="AA24"/>
  <c r="AA23"/>
  <c r="X26"/>
  <c r="X25"/>
  <c r="X24"/>
  <c r="X23"/>
  <c r="U26"/>
  <c r="U25"/>
  <c r="U24"/>
  <c r="U23"/>
  <c r="T26"/>
  <c r="T25"/>
  <c r="T24"/>
  <c r="T23"/>
  <c r="R26"/>
  <c r="R25"/>
  <c r="R24"/>
  <c r="R23"/>
  <c r="Q26"/>
  <c r="Q25"/>
  <c r="Q24"/>
  <c r="Q23"/>
  <c r="P26"/>
  <c r="P25"/>
  <c r="P24"/>
  <c r="P23"/>
  <c r="O26"/>
  <c r="O25"/>
  <c r="O24"/>
  <c r="O23"/>
  <c r="N26"/>
  <c r="N25"/>
  <c r="N24"/>
  <c r="N23"/>
  <c r="M26"/>
  <c r="M25"/>
  <c r="M24"/>
  <c r="M23"/>
  <c r="L26"/>
  <c r="L25"/>
  <c r="L24"/>
  <c r="L23"/>
  <c r="K26"/>
  <c r="K25"/>
  <c r="K24"/>
  <c r="K23"/>
  <c r="J26"/>
  <c r="J25"/>
  <c r="J24"/>
  <c r="J23"/>
  <c r="I26"/>
  <c r="I25"/>
  <c r="I24"/>
  <c r="I23"/>
  <c r="H26"/>
  <c r="H25"/>
  <c r="H24"/>
  <c r="H23"/>
  <c r="G26"/>
  <c r="G25"/>
  <c r="G24"/>
  <c r="G23"/>
  <c r="F26"/>
  <c r="F25"/>
  <c r="F24"/>
  <c r="F23"/>
  <c r="E26"/>
  <c r="E25"/>
  <c r="E24"/>
  <c r="E23"/>
  <c r="AA20"/>
  <c r="AA19"/>
  <c r="AA18"/>
  <c r="AA17"/>
  <c r="AA16"/>
  <c r="AA15"/>
  <c r="AA14"/>
  <c r="AA13"/>
  <c r="AA12"/>
  <c r="X20"/>
  <c r="X19"/>
  <c r="X18"/>
  <c r="X17"/>
  <c r="X16"/>
  <c r="X15"/>
  <c r="X14"/>
  <c r="X13"/>
  <c r="X12"/>
  <c r="U20"/>
  <c r="U19"/>
  <c r="U18"/>
  <c r="U17"/>
  <c r="U16"/>
  <c r="U15"/>
  <c r="U14"/>
  <c r="U13"/>
  <c r="U12"/>
  <c r="T20"/>
  <c r="T19"/>
  <c r="T18"/>
  <c r="T17"/>
  <c r="T16"/>
  <c r="T15"/>
  <c r="T14"/>
  <c r="T13"/>
  <c r="T12"/>
  <c r="R20"/>
  <c r="R19"/>
  <c r="R18"/>
  <c r="R17"/>
  <c r="R16"/>
  <c r="R15"/>
  <c r="R14"/>
  <c r="R13"/>
  <c r="R12"/>
  <c r="Q20"/>
  <c r="Q19"/>
  <c r="Q18"/>
  <c r="Q17"/>
  <c r="Q16"/>
  <c r="Q15"/>
  <c r="Q14"/>
  <c r="P20"/>
  <c r="P19"/>
  <c r="P18"/>
  <c r="P17"/>
  <c r="P16"/>
  <c r="P15"/>
  <c r="P14"/>
  <c r="P13"/>
  <c r="P12"/>
  <c r="Q13"/>
  <c r="Q12"/>
  <c r="O20"/>
  <c r="O19"/>
  <c r="O18"/>
  <c r="O17"/>
  <c r="O16"/>
  <c r="O15"/>
  <c r="O14"/>
  <c r="O13"/>
  <c r="O12"/>
  <c r="N20"/>
  <c r="N19"/>
  <c r="N18"/>
  <c r="N17"/>
  <c r="N16"/>
  <c r="N15"/>
  <c r="N14"/>
  <c r="N13"/>
  <c r="N12"/>
  <c r="M20"/>
  <c r="M19"/>
  <c r="M18"/>
  <c r="M17"/>
  <c r="M16"/>
  <c r="M15"/>
  <c r="M14"/>
  <c r="M13"/>
  <c r="M12"/>
  <c r="L20"/>
  <c r="L19"/>
  <c r="L18"/>
  <c r="L17"/>
  <c r="L16"/>
  <c r="L15"/>
  <c r="L14"/>
  <c r="L13"/>
  <c r="L12"/>
  <c r="K20"/>
  <c r="K19"/>
  <c r="K18"/>
  <c r="K17"/>
  <c r="K16"/>
  <c r="K15"/>
  <c r="K14"/>
  <c r="K13"/>
  <c r="K12"/>
  <c r="J20"/>
  <c r="J19"/>
  <c r="J18"/>
  <c r="J17"/>
  <c r="J16"/>
  <c r="J15"/>
  <c r="J14"/>
  <c r="J13"/>
  <c r="J12"/>
  <c r="I20"/>
  <c r="I19"/>
  <c r="I18"/>
  <c r="I17"/>
  <c r="I16"/>
  <c r="I15"/>
  <c r="I14"/>
  <c r="I13"/>
  <c r="I12"/>
  <c r="H20"/>
  <c r="H19"/>
  <c r="H18"/>
  <c r="H17"/>
  <c r="H16"/>
  <c r="H15"/>
  <c r="H14"/>
  <c r="H13"/>
  <c r="H12"/>
  <c r="G20"/>
  <c r="G19"/>
  <c r="G18"/>
  <c r="G17"/>
  <c r="G16"/>
  <c r="G15"/>
  <c r="G14"/>
  <c r="G13"/>
  <c r="G12"/>
  <c r="F20"/>
  <c r="F19"/>
  <c r="F18"/>
  <c r="F17"/>
  <c r="F16"/>
  <c r="F15"/>
  <c r="F14"/>
  <c r="F13"/>
  <c r="F12"/>
  <c r="E20"/>
  <c r="E19"/>
  <c r="E18"/>
  <c r="E17"/>
  <c r="E16"/>
  <c r="E15"/>
  <c r="E14"/>
  <c r="E13"/>
  <c r="E12"/>
  <c r="U8"/>
  <c r="T8"/>
  <c r="R8"/>
  <c r="Q8"/>
  <c r="P8"/>
  <c r="O8"/>
  <c r="N8"/>
  <c r="M8"/>
  <c r="L8"/>
  <c r="K8"/>
  <c r="J8"/>
  <c r="I8"/>
  <c r="H8"/>
  <c r="G8"/>
  <c r="F8"/>
  <c r="E8"/>
  <c r="Q2"/>
  <c r="N2"/>
  <c r="W12" l="1"/>
  <c r="R22"/>
  <c r="P22"/>
  <c r="J22"/>
  <c r="H22"/>
  <c r="T22"/>
  <c r="W8"/>
  <c r="N22"/>
  <c r="F22"/>
  <c r="U11"/>
  <c r="L22"/>
  <c r="P11"/>
  <c r="X22" l="1"/>
  <c r="AB14"/>
  <c r="W14"/>
  <c r="AB16"/>
  <c r="W16"/>
  <c r="AB18"/>
  <c r="W18"/>
  <c r="AB20"/>
  <c r="W20"/>
  <c r="AB24"/>
  <c r="W24"/>
  <c r="AB26"/>
  <c r="W26"/>
  <c r="AB13"/>
  <c r="W13"/>
  <c r="AB15"/>
  <c r="W15"/>
  <c r="AB17"/>
  <c r="W17"/>
  <c r="AB19"/>
  <c r="W19"/>
  <c r="AB23"/>
  <c r="W23"/>
  <c r="AB25"/>
  <c r="W25"/>
  <c r="T11"/>
  <c r="W11" s="1"/>
  <c r="AB12"/>
  <c r="U22"/>
  <c r="W22" s="1"/>
  <c r="L11"/>
  <c r="L9" s="1"/>
  <c r="R11"/>
  <c r="R9" s="1"/>
  <c r="H11"/>
  <c r="H9" s="1"/>
  <c r="P9"/>
  <c r="E11"/>
  <c r="F11"/>
  <c r="F9" s="1"/>
  <c r="G11"/>
  <c r="I11"/>
  <c r="J11"/>
  <c r="J9" s="1"/>
  <c r="K11"/>
  <c r="M11"/>
  <c r="N11"/>
  <c r="N9" s="1"/>
  <c r="O11"/>
  <c r="Q11"/>
  <c r="E22"/>
  <c r="I22"/>
  <c r="K22"/>
  <c r="M22"/>
  <c r="O22"/>
  <c r="Q22"/>
  <c r="G22"/>
  <c r="U9"/>
  <c r="Z12" s="1"/>
  <c r="X8"/>
  <c r="X11"/>
  <c r="X9" s="1"/>
  <c r="Z23" l="1"/>
  <c r="T9"/>
  <c r="Y26" s="1"/>
  <c r="Z25"/>
  <c r="Z19"/>
  <c r="Z17"/>
  <c r="Z15"/>
  <c r="Z13"/>
  <c r="Z26"/>
  <c r="Z24"/>
  <c r="Z20"/>
  <c r="Z18"/>
  <c r="Z16"/>
  <c r="Z14"/>
  <c r="Y9"/>
  <c r="Y24"/>
  <c r="Y20"/>
  <c r="Y18"/>
  <c r="Y16"/>
  <c r="Y14"/>
  <c r="G9"/>
  <c r="M9"/>
  <c r="O9"/>
  <c r="E9"/>
  <c r="Q9"/>
  <c r="K9"/>
  <c r="I9"/>
  <c r="Y13" l="1"/>
  <c r="Y15"/>
  <c r="Y17"/>
  <c r="Y19"/>
  <c r="Y23"/>
  <c r="Y25"/>
  <c r="Y12"/>
  <c r="W9"/>
  <c r="Z27"/>
  <c r="Y27"/>
</calcChain>
</file>

<file path=xl/sharedStrings.xml><?xml version="1.0" encoding="utf-8"?>
<sst xmlns="http://schemas.openxmlformats.org/spreadsheetml/2006/main" count="80" uniqueCount="52">
  <si>
    <t>SUP FIDUCIARIA</t>
  </si>
  <si>
    <t>M / (P)</t>
  </si>
  <si>
    <t>CHEFIA - DIR CONTROLE RISCOS E COMPLIAN</t>
  </si>
  <si>
    <t>SUP CONTR RISCO MERCADO - AMC</t>
  </si>
  <si>
    <t>SUP CONS FISCAL CONTABIL-AMC</t>
  </si>
  <si>
    <t>SUPERINT CONTROLADORIA-AMC</t>
  </si>
  <si>
    <t>GER TEC CONTR INT E COMPLIANCE</t>
  </si>
  <si>
    <t>OUVIDORIA -WMS</t>
  </si>
  <si>
    <t>Real</t>
  </si>
  <si>
    <t>Orçado</t>
  </si>
  <si>
    <t xml:space="preserve">      HEADCOUNT      </t>
  </si>
  <si>
    <t xml:space="preserve">      TOTAL      </t>
  </si>
  <si>
    <t>ON_UNIBANCO</t>
  </si>
  <si>
    <t>BIELUX</t>
  </si>
  <si>
    <t>OFF_UNIBANCO</t>
  </si>
  <si>
    <t>ARGENTINA</t>
  </si>
  <si>
    <t>URUGUAI</t>
  </si>
  <si>
    <t xml:space="preserve">      CUSTOS DIRETOS      </t>
  </si>
  <si>
    <t>Pessoal</t>
  </si>
  <si>
    <t>Bônus Diretos</t>
  </si>
  <si>
    <t>Serviços de Terceiros</t>
  </si>
  <si>
    <t>Marketing</t>
  </si>
  <si>
    <t>VIAGENS</t>
  </si>
  <si>
    <t>Depreciação</t>
  </si>
  <si>
    <t>Custos Ligados à Venda</t>
  </si>
  <si>
    <t>Outros Custos</t>
  </si>
  <si>
    <t xml:space="preserve">       CUSTOS INDIRETOS      </t>
  </si>
  <si>
    <t>Bônus Indiretos</t>
  </si>
  <si>
    <t xml:space="preserve">      Outros      </t>
  </si>
  <si>
    <t>COMPOSIÇÃO CUSTOS %</t>
  </si>
  <si>
    <t>% PARTICIPAÇÃO TOTAL CUSTO DCRC</t>
  </si>
  <si>
    <t>Real X Orçado</t>
  </si>
  <si>
    <t>Custos Indiretos</t>
  </si>
  <si>
    <t>Custos Diretos</t>
  </si>
  <si>
    <t>SCFC</t>
  </si>
  <si>
    <t>SPF</t>
  </si>
  <si>
    <t>GTPS</t>
  </si>
  <si>
    <t>SCRF</t>
  </si>
  <si>
    <t>SF</t>
  </si>
  <si>
    <t>TOTAL
 DCRC</t>
  </si>
  <si>
    <t>Chefia - 
DCRC</t>
  </si>
  <si>
    <t>OUVID. 
- WMS</t>
  </si>
  <si>
    <t>Instalações / Equip.</t>
  </si>
  <si>
    <t>Custos Padrão Serv. Gerais</t>
  </si>
  <si>
    <t>Desenv. de Sistemas</t>
  </si>
  <si>
    <t>Oper. de Sist de Gestão</t>
  </si>
  <si>
    <t>Realizado x Orçado 
por Linha de Despesa - R$mil</t>
  </si>
  <si>
    <t>Atingimento do Orçamento 
por Linha de Despesa - %</t>
  </si>
  <si>
    <t>Custos Diretos x Indiretos
 - R x P</t>
  </si>
  <si>
    <t>Quantidade
 Headcount</t>
  </si>
  <si>
    <t xml:space="preserve">DCRC Consolidado -  Custos por Área -  </t>
  </si>
  <si>
    <t>-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</si>
</sst>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0.0%"/>
    <numFmt numFmtId="166" formatCode="_(* #,##0_);_(* \(#,##0\);_(* &quot;-&quot;??_);_(@_)"/>
    <numFmt numFmtId="167" formatCode="dd/mm/yy;@"/>
  </numFmts>
  <fonts count="55">
    <font>
      <sz val="10"/>
      <name val="MS Sans Serif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sz val="12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sz val="8"/>
      <color rgb="FFFFFFFF"/>
      <name val="Calibri"/>
      <family val="2"/>
    </font>
    <font>
      <i/>
      <sz val="8"/>
      <name val="Arial"/>
      <family val="2"/>
    </font>
    <font>
      <sz val="8"/>
      <color rgb="FF000000"/>
      <name val="Verdana"/>
      <family val="2"/>
    </font>
    <font>
      <sz val="9"/>
      <color rgb="FFFFFFFF"/>
      <name val="Arial"/>
      <family val="2"/>
    </font>
    <font>
      <sz val="9"/>
      <color rgb="FF000080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0"/>
      <color rgb="FFFFFFFF"/>
      <name val="Arial"/>
      <family val="2"/>
    </font>
    <font>
      <sz val="11"/>
      <name val="Arial"/>
      <family val="2"/>
    </font>
    <font>
      <sz val="11"/>
      <name val="Calibri"/>
      <family val="2"/>
    </font>
    <font>
      <sz val="16"/>
      <name val="Wingdings 3"/>
      <family val="1"/>
      <charset val="2"/>
    </font>
    <font>
      <sz val="12"/>
      <name val="Calibri"/>
      <family val="2"/>
    </font>
    <font>
      <sz val="10"/>
      <color rgb="FF000080"/>
      <name val="Arial"/>
      <family val="2"/>
    </font>
    <font>
      <sz val="9"/>
      <name val="Arial"/>
      <family val="2"/>
    </font>
    <font>
      <sz val="12"/>
      <color rgb="FFFF3300"/>
      <name val="Arial"/>
      <family val="2"/>
    </font>
    <font>
      <sz val="10"/>
      <color rgb="FFFF3300"/>
      <name val="Arial"/>
      <family val="2"/>
    </font>
    <font>
      <sz val="8"/>
      <color rgb="FFFF3300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6"/>
      <color rgb="FFFFFFFF"/>
      <name val="Arial"/>
      <family val="2"/>
    </font>
    <font>
      <sz val="8"/>
      <color rgb="FFFF0000"/>
      <name val="Arial"/>
      <family val="2"/>
    </font>
    <font>
      <i/>
      <sz val="9"/>
      <color theme="6"/>
      <name val="Arial"/>
      <family val="2"/>
    </font>
    <font>
      <sz val="8"/>
      <color theme="6"/>
      <name val="Arial"/>
      <family val="2"/>
    </font>
    <font>
      <sz val="10"/>
      <color theme="6"/>
      <name val="Arial"/>
      <family val="2"/>
    </font>
    <font>
      <sz val="12"/>
      <color theme="6"/>
      <name val="Arial"/>
      <family val="2"/>
    </font>
    <font>
      <sz val="9"/>
      <color theme="0"/>
      <name val="Wingdings 3"/>
      <family val="1"/>
      <charset val="2"/>
    </font>
    <font>
      <sz val="9"/>
      <name val="Wingdings 3"/>
      <family val="1"/>
      <charset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76091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1F497D"/>
        <bgColor rgb="FF000000"/>
      </patternFill>
    </fill>
    <fill>
      <patternFill patternType="solid">
        <fgColor rgb="FFD8D8D8"/>
        <bgColor rgb="FF000000"/>
      </patternFill>
    </fill>
    <fill>
      <patternFill patternType="solid">
        <fgColor rgb="FFA5A5A5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n">
        <color rgb="FFA5A5A5"/>
      </top>
      <bottom/>
      <diagonal/>
    </border>
    <border>
      <left/>
      <right/>
      <top/>
      <bottom style="thin">
        <color rgb="FFA5A5A5"/>
      </bottom>
      <diagonal/>
    </border>
    <border>
      <left style="thick">
        <color rgb="FFFFFFFF"/>
      </left>
      <right/>
      <top/>
      <bottom/>
      <diagonal/>
    </border>
    <border>
      <left/>
      <right/>
      <top/>
      <bottom style="thick">
        <color rgb="FFFFFFFF"/>
      </bottom>
      <diagonal/>
    </border>
    <border>
      <left style="thin">
        <color theme="0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0">
    <xf numFmtId="0" fontId="0" fillId="0" borderId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0" fillId="0" borderId="0"/>
    <xf numFmtId="0" fontId="21" fillId="0" borderId="0">
      <alignment vertical="top"/>
    </xf>
    <xf numFmtId="0" fontId="21" fillId="0" borderId="0">
      <alignment vertical="top"/>
    </xf>
    <xf numFmtId="0" fontId="22" fillId="0" borderId="0"/>
    <xf numFmtId="9" fontId="18" fillId="0" borderId="0" applyFont="0" applyFill="0" applyBorder="0" applyAlignment="0" applyProtection="0"/>
    <xf numFmtId="164" fontId="18" fillId="0" borderId="0" applyFont="0" applyFill="0" applyBorder="0" applyAlignment="0" applyProtection="0"/>
  </cellStyleXfs>
  <cellXfs count="164">
    <xf numFmtId="0" fontId="18" fillId="0" borderId="0" xfId="0" applyFont="1"/>
    <xf numFmtId="0" fontId="22" fillId="0" borderId="0" xfId="47" applyFill="1"/>
    <xf numFmtId="0" fontId="22" fillId="0" borderId="0" xfId="47" applyFont="1" applyFill="1"/>
    <xf numFmtId="0" fontId="22" fillId="0" borderId="0" xfId="47" applyFont="1" applyFill="1" applyAlignment="1">
      <alignment horizontal="center"/>
    </xf>
    <xf numFmtId="0" fontId="23" fillId="0" borderId="0" xfId="47" applyFont="1" applyFill="1"/>
    <xf numFmtId="0" fontId="22" fillId="0" borderId="0" xfId="47" applyFill="1" applyAlignment="1">
      <alignment horizontal="center"/>
    </xf>
    <xf numFmtId="0" fontId="24" fillId="0" borderId="0" xfId="47" applyFont="1" applyFill="1"/>
    <xf numFmtId="0" fontId="22" fillId="0" borderId="0" xfId="47" applyBorder="1"/>
    <xf numFmtId="0" fontId="24" fillId="0" borderId="0" xfId="47" applyFont="1" applyBorder="1"/>
    <xf numFmtId="0" fontId="23" fillId="0" borderId="0" xfId="47" applyFont="1" applyBorder="1"/>
    <xf numFmtId="0" fontId="23" fillId="0" borderId="0" xfId="47" applyFont="1" applyFill="1" applyAlignment="1">
      <alignment horizontal="left"/>
    </xf>
    <xf numFmtId="0" fontId="23" fillId="0" borderId="0" xfId="47" applyFont="1" applyFill="1" applyAlignment="1">
      <alignment horizontal="center"/>
    </xf>
    <xf numFmtId="165" fontId="22" fillId="0" borderId="0" xfId="1" applyNumberFormat="1" applyFont="1" applyFill="1"/>
    <xf numFmtId="0" fontId="19" fillId="0" borderId="0" xfId="47" applyFont="1" applyFill="1"/>
    <xf numFmtId="9" fontId="19" fillId="0" borderId="0" xfId="48" applyFont="1" applyFill="1"/>
    <xf numFmtId="0" fontId="19" fillId="0" borderId="0" xfId="47" applyFont="1" applyBorder="1"/>
    <xf numFmtId="0" fontId="27" fillId="0" borderId="0" xfId="44" applyFont="1" applyFill="1" applyAlignment="1">
      <alignment horizontal="left"/>
    </xf>
    <xf numFmtId="37" fontId="26" fillId="0" borderId="0" xfId="47" applyNumberFormat="1" applyFont="1" applyFill="1" applyAlignment="1">
      <alignment horizontal="center"/>
    </xf>
    <xf numFmtId="37" fontId="19" fillId="34" borderId="0" xfId="47" applyNumberFormat="1" applyFont="1" applyFill="1" applyAlignment="1">
      <alignment horizontal="center"/>
    </xf>
    <xf numFmtId="37" fontId="19" fillId="0" borderId="0" xfId="47" applyNumberFormat="1" applyFont="1" applyBorder="1" applyAlignment="1">
      <alignment horizontal="center"/>
    </xf>
    <xf numFmtId="0" fontId="19" fillId="0" borderId="0" xfId="47" applyFont="1" applyFill="1" applyAlignment="1">
      <alignment vertical="center"/>
    </xf>
    <xf numFmtId="37" fontId="25" fillId="33" borderId="11" xfId="47" applyNumberFormat="1" applyFont="1" applyFill="1" applyBorder="1" applyAlignment="1">
      <alignment horizontal="center" vertical="center"/>
    </xf>
    <xf numFmtId="37" fontId="25" fillId="33" borderId="12" xfId="47" applyNumberFormat="1" applyFont="1" applyFill="1" applyBorder="1" applyAlignment="1">
      <alignment horizontal="center" vertical="center"/>
    </xf>
    <xf numFmtId="0" fontId="25" fillId="33" borderId="11" xfId="47" applyFont="1" applyFill="1" applyBorder="1" applyAlignment="1">
      <alignment horizontal="center" vertical="center"/>
    </xf>
    <xf numFmtId="0" fontId="25" fillId="33" borderId="12" xfId="47" applyFont="1" applyFill="1" applyBorder="1" applyAlignment="1">
      <alignment horizontal="center" vertical="center"/>
    </xf>
    <xf numFmtId="37" fontId="19" fillId="0" borderId="0" xfId="47" applyNumberFormat="1" applyFont="1" applyBorder="1" applyAlignment="1">
      <alignment horizontal="center" vertical="center"/>
    </xf>
    <xf numFmtId="38" fontId="26" fillId="34" borderId="0" xfId="47" applyNumberFormat="1" applyFont="1" applyFill="1" applyAlignment="1">
      <alignment vertical="center"/>
    </xf>
    <xf numFmtId="38" fontId="26" fillId="0" borderId="0" xfId="47" applyNumberFormat="1" applyFont="1" applyFill="1" applyAlignment="1">
      <alignment vertical="center"/>
    </xf>
    <xf numFmtId="164" fontId="25" fillId="34" borderId="0" xfId="49" applyFont="1" applyFill="1" applyAlignment="1">
      <alignment horizontal="left" vertical="center"/>
    </xf>
    <xf numFmtId="38" fontId="26" fillId="0" borderId="0" xfId="46" applyNumberFormat="1" applyFont="1" applyFill="1" applyAlignment="1">
      <alignment horizontal="right" vertical="center"/>
    </xf>
    <xf numFmtId="38" fontId="26" fillId="0" borderId="0" xfId="46" applyNumberFormat="1" applyFont="1" applyBorder="1" applyAlignment="1">
      <alignment horizontal="right" vertical="center"/>
    </xf>
    <xf numFmtId="0" fontId="28" fillId="0" borderId="0" xfId="47" applyFont="1" applyFill="1"/>
    <xf numFmtId="0" fontId="28" fillId="0" borderId="0" xfId="47" applyFont="1" applyBorder="1"/>
    <xf numFmtId="164" fontId="29" fillId="0" borderId="0" xfId="49" applyFont="1" applyFill="1" applyAlignment="1">
      <alignment horizontal="left" indent="2"/>
    </xf>
    <xf numFmtId="164" fontId="30" fillId="0" borderId="0" xfId="49" applyFont="1" applyFill="1" applyAlignment="1">
      <alignment horizontal="left" indent="2"/>
    </xf>
    <xf numFmtId="164" fontId="31" fillId="0" borderId="0" xfId="49" applyFont="1" applyFill="1" applyBorder="1" applyAlignment="1">
      <alignment horizontal="left" indent="2"/>
    </xf>
    <xf numFmtId="38" fontId="31" fillId="0" borderId="0" xfId="47" applyNumberFormat="1" applyFont="1" applyBorder="1"/>
    <xf numFmtId="38" fontId="31" fillId="0" borderId="0" xfId="47" applyNumberFormat="1" applyFont="1" applyFill="1" applyAlignment="1">
      <alignment horizontal="center"/>
    </xf>
    <xf numFmtId="38" fontId="31" fillId="0" borderId="0" xfId="47" applyNumberFormat="1" applyFont="1" applyFill="1"/>
    <xf numFmtId="38" fontId="31" fillId="0" borderId="0" xfId="49" applyNumberFormat="1" applyFont="1" applyFill="1" applyAlignment="1">
      <alignment horizontal="center"/>
    </xf>
    <xf numFmtId="38" fontId="31" fillId="0" borderId="0" xfId="49" applyNumberFormat="1" applyFont="1" applyFill="1" applyAlignment="1">
      <alignment horizontal="right"/>
    </xf>
    <xf numFmtId="38" fontId="31" fillId="0" borderId="0" xfId="49" applyNumberFormat="1" applyFont="1" applyFill="1" applyBorder="1" applyAlignment="1">
      <alignment horizontal="right"/>
    </xf>
    <xf numFmtId="38" fontId="31" fillId="0" borderId="0" xfId="47" applyNumberFormat="1" applyFont="1" applyFill="1" applyAlignment="1">
      <alignment horizontal="right"/>
    </xf>
    <xf numFmtId="38" fontId="22" fillId="0" borderId="0" xfId="47" applyNumberFormat="1" applyBorder="1" applyAlignment="1">
      <alignment horizontal="right"/>
    </xf>
    <xf numFmtId="0" fontId="22" fillId="33" borderId="0" xfId="47" applyFill="1" applyBorder="1"/>
    <xf numFmtId="0" fontId="22" fillId="33" borderId="0" xfId="47" applyFill="1" applyAlignment="1">
      <alignment horizontal="center"/>
    </xf>
    <xf numFmtId="0" fontId="22" fillId="33" borderId="0" xfId="47" applyFill="1"/>
    <xf numFmtId="0" fontId="22" fillId="0" borderId="0" xfId="47" applyBorder="1" applyAlignment="1">
      <alignment horizontal="center" vertical="center"/>
    </xf>
    <xf numFmtId="0" fontId="33" fillId="0" borderId="0" xfId="47" applyFont="1" applyFill="1" applyAlignment="1">
      <alignment horizontal="center"/>
    </xf>
    <xf numFmtId="164" fontId="23" fillId="0" borderId="0" xfId="49" applyFont="1" applyFill="1" applyBorder="1" applyAlignment="1">
      <alignment horizontal="left" indent="1"/>
    </xf>
    <xf numFmtId="38" fontId="34" fillId="0" borderId="0" xfId="47" applyNumberFormat="1" applyFont="1" applyBorder="1"/>
    <xf numFmtId="38" fontId="34" fillId="0" borderId="0" xfId="47" applyNumberFormat="1" applyFont="1" applyFill="1" applyAlignment="1">
      <alignment horizontal="center"/>
    </xf>
    <xf numFmtId="38" fontId="34" fillId="0" borderId="0" xfId="47" applyNumberFormat="1" applyFont="1" applyFill="1"/>
    <xf numFmtId="38" fontId="33" fillId="0" borderId="0" xfId="47" applyNumberFormat="1" applyFont="1" applyFill="1" applyAlignment="1">
      <alignment horizontal="center"/>
    </xf>
    <xf numFmtId="38" fontId="22" fillId="0" borderId="0" xfId="47" applyNumberFormat="1" applyBorder="1" applyAlignment="1">
      <alignment horizontal="center" vertical="center"/>
    </xf>
    <xf numFmtId="0" fontId="32" fillId="37" borderId="0" xfId="47" applyFont="1" applyFill="1" applyBorder="1" applyAlignment="1">
      <alignment horizontal="centerContinuous" vertical="center" wrapText="1"/>
    </xf>
    <xf numFmtId="0" fontId="22" fillId="0" borderId="16" xfId="47" applyFill="1" applyBorder="1"/>
    <xf numFmtId="0" fontId="22" fillId="0" borderId="16" xfId="47" applyFill="1" applyBorder="1" applyAlignment="1">
      <alignment horizontal="center"/>
    </xf>
    <xf numFmtId="0" fontId="0" fillId="0" borderId="0" xfId="47" applyFont="1" applyFill="1"/>
    <xf numFmtId="0" fontId="36" fillId="0" borderId="0" xfId="47" applyFont="1" applyFill="1"/>
    <xf numFmtId="0" fontId="0" fillId="0" borderId="0" xfId="47" applyFont="1" applyBorder="1"/>
    <xf numFmtId="165" fontId="37" fillId="0" borderId="0" xfId="48" applyNumberFormat="1" applyFont="1" applyFill="1" applyAlignment="1">
      <alignment horizontal="center"/>
    </xf>
    <xf numFmtId="165" fontId="38" fillId="0" borderId="0" xfId="1" applyNumberFormat="1" applyFont="1" applyFill="1" applyAlignment="1">
      <alignment horizontal="left"/>
    </xf>
    <xf numFmtId="0" fontId="0" fillId="34" borderId="0" xfId="47" applyFont="1" applyFill="1"/>
    <xf numFmtId="0" fontId="0" fillId="38" borderId="0" xfId="47" applyFont="1" applyFill="1"/>
    <xf numFmtId="0" fontId="36" fillId="0" borderId="0" xfId="47" applyFont="1" applyBorder="1"/>
    <xf numFmtId="0" fontId="0" fillId="39" borderId="0" xfId="47" applyFont="1" applyFill="1"/>
    <xf numFmtId="0" fontId="22" fillId="0" borderId="17" xfId="47" applyFill="1" applyBorder="1"/>
    <xf numFmtId="0" fontId="22" fillId="0" borderId="17" xfId="47" applyFill="1" applyBorder="1" applyAlignment="1">
      <alignment horizontal="center"/>
    </xf>
    <xf numFmtId="0" fontId="22" fillId="40" borderId="0" xfId="47" applyFill="1" applyBorder="1"/>
    <xf numFmtId="0" fontId="22" fillId="40" borderId="0" xfId="47" applyFill="1" applyAlignment="1">
      <alignment horizontal="center"/>
    </xf>
    <xf numFmtId="0" fontId="22" fillId="40" borderId="0" xfId="47" applyFill="1"/>
    <xf numFmtId="0" fontId="39" fillId="40" borderId="0" xfId="47" applyFont="1" applyFill="1" applyBorder="1"/>
    <xf numFmtId="0" fontId="40" fillId="0" borderId="0" xfId="47" applyFont="1" applyFill="1"/>
    <xf numFmtId="0" fontId="41" fillId="0" borderId="0" xfId="47" applyFont="1" applyBorder="1"/>
    <xf numFmtId="0" fontId="42" fillId="0" borderId="0" xfId="47" applyFont="1" applyBorder="1"/>
    <xf numFmtId="38" fontId="42" fillId="0" borderId="0" xfId="47" applyNumberFormat="1" applyFont="1" applyFill="1"/>
    <xf numFmtId="0" fontId="43" fillId="0" borderId="0" xfId="47" applyFont="1" applyBorder="1"/>
    <xf numFmtId="0" fontId="43" fillId="0" borderId="0" xfId="47" applyFont="1" applyFill="1"/>
    <xf numFmtId="37" fontId="43" fillId="0" borderId="0" xfId="47" applyNumberFormat="1" applyFont="1" applyFill="1"/>
    <xf numFmtId="9" fontId="43" fillId="0" borderId="0" xfId="1" applyFont="1" applyFill="1"/>
    <xf numFmtId="37" fontId="43" fillId="0" borderId="0" xfId="45" applyNumberFormat="1" applyFont="1" applyFill="1" applyAlignment="1"/>
    <xf numFmtId="0" fontId="43" fillId="0" borderId="0" xfId="45" applyFont="1" applyBorder="1" applyAlignment="1"/>
    <xf numFmtId="9" fontId="43" fillId="0" borderId="0" xfId="1" applyFont="1" applyFill="1" applyBorder="1"/>
    <xf numFmtId="9" fontId="42" fillId="0" borderId="0" xfId="45" applyNumberFormat="1" applyFont="1" applyBorder="1" applyAlignment="1"/>
    <xf numFmtId="0" fontId="22" fillId="0" borderId="0" xfId="47" applyFill="1" applyBorder="1" applyAlignment="1">
      <alignment horizontal="center"/>
    </xf>
    <xf numFmtId="0" fontId="22" fillId="0" borderId="0" xfId="47" applyFill="1" applyBorder="1"/>
    <xf numFmtId="0" fontId="40" fillId="0" borderId="0" xfId="47" applyFont="1" applyFill="1" applyAlignment="1">
      <alignment horizontal="left" indent="2"/>
    </xf>
    <xf numFmtId="166" fontId="44" fillId="33" borderId="13" xfId="49" applyNumberFormat="1" applyFont="1" applyFill="1" applyBorder="1" applyAlignment="1">
      <alignment horizontal="center" vertical="center"/>
    </xf>
    <xf numFmtId="38" fontId="44" fillId="33" borderId="14" xfId="47" applyNumberFormat="1" applyFont="1" applyFill="1" applyBorder="1" applyAlignment="1">
      <alignment horizontal="right" vertical="center"/>
    </xf>
    <xf numFmtId="38" fontId="44" fillId="0" borderId="0" xfId="47" applyNumberFormat="1" applyFont="1" applyBorder="1" applyAlignment="1">
      <alignment vertical="center"/>
    </xf>
    <xf numFmtId="38" fontId="44" fillId="35" borderId="10" xfId="47" applyNumberFormat="1" applyFont="1" applyFill="1" applyBorder="1" applyAlignment="1">
      <alignment vertical="center"/>
    </xf>
    <xf numFmtId="38" fontId="45" fillId="0" borderId="0" xfId="47" applyNumberFormat="1" applyFont="1" applyFill="1" applyAlignment="1">
      <alignment vertical="center"/>
    </xf>
    <xf numFmtId="38" fontId="40" fillId="0" borderId="0" xfId="47" applyNumberFormat="1" applyFont="1" applyBorder="1" applyAlignment="1">
      <alignment vertical="center"/>
    </xf>
    <xf numFmtId="38" fontId="44" fillId="33" borderId="12" xfId="47" applyNumberFormat="1" applyFont="1" applyFill="1" applyBorder="1" applyAlignment="1">
      <alignment horizontal="right" vertical="center"/>
    </xf>
    <xf numFmtId="38" fontId="44" fillId="33" borderId="13" xfId="47" applyNumberFormat="1" applyFont="1" applyFill="1" applyBorder="1" applyAlignment="1">
      <alignment horizontal="right" vertical="center"/>
    </xf>
    <xf numFmtId="38" fontId="44" fillId="0" borderId="0" xfId="47" applyNumberFormat="1" applyFont="1" applyFill="1" applyAlignment="1">
      <alignment vertical="center"/>
    </xf>
    <xf numFmtId="38" fontId="44" fillId="36" borderId="15" xfId="47" applyNumberFormat="1" applyFont="1" applyFill="1" applyBorder="1" applyAlignment="1">
      <alignment vertical="center"/>
    </xf>
    <xf numFmtId="38" fontId="40" fillId="0" borderId="0" xfId="47" applyNumberFormat="1" applyFont="1" applyFill="1" applyAlignment="1">
      <alignment vertical="center"/>
    </xf>
    <xf numFmtId="164" fontId="46" fillId="35" borderId="0" xfId="49" applyFont="1" applyFill="1" applyAlignment="1">
      <alignment horizontal="left" indent="1"/>
    </xf>
    <xf numFmtId="38" fontId="44" fillId="35" borderId="15" xfId="47" applyNumberFormat="1" applyFont="1" applyFill="1" applyBorder="1" applyAlignment="1">
      <alignment vertical="center"/>
    </xf>
    <xf numFmtId="38" fontId="30" fillId="0" borderId="12" xfId="47" applyNumberFormat="1" applyFont="1" applyFill="1" applyBorder="1" applyAlignment="1">
      <alignment vertical="center"/>
    </xf>
    <xf numFmtId="38" fontId="30" fillId="34" borderId="12" xfId="47" applyNumberFormat="1" applyFont="1" applyFill="1" applyBorder="1" applyAlignment="1">
      <alignment vertical="center"/>
    </xf>
    <xf numFmtId="38" fontId="40" fillId="34" borderId="0" xfId="47" applyNumberFormat="1" applyFont="1" applyFill="1" applyAlignment="1">
      <alignment vertical="center"/>
    </xf>
    <xf numFmtId="37" fontId="40" fillId="0" borderId="0" xfId="47" applyNumberFormat="1" applyFont="1" applyFill="1" applyAlignment="1">
      <alignment horizontal="center" vertical="center"/>
    </xf>
    <xf numFmtId="38" fontId="30" fillId="34" borderId="0" xfId="47" applyNumberFormat="1" applyFont="1" applyFill="1" applyAlignment="1">
      <alignment vertical="center"/>
    </xf>
    <xf numFmtId="38" fontId="30" fillId="0" borderId="0" xfId="47" applyNumberFormat="1" applyFont="1" applyFill="1" applyAlignment="1">
      <alignment vertical="center"/>
    </xf>
    <xf numFmtId="164" fontId="44" fillId="33" borderId="14" xfId="49" applyFont="1" applyFill="1" applyBorder="1" applyAlignment="1">
      <alignment horizontal="center" vertical="center"/>
    </xf>
    <xf numFmtId="164" fontId="44" fillId="33" borderId="11" xfId="49" applyFont="1" applyFill="1" applyBorder="1" applyAlignment="1">
      <alignment horizontal="center" vertical="center"/>
    </xf>
    <xf numFmtId="0" fontId="30" fillId="34" borderId="0" xfId="47" applyFont="1" applyFill="1"/>
    <xf numFmtId="0" fontId="30" fillId="0" borderId="0" xfId="47" applyFont="1" applyFill="1" applyAlignment="1">
      <alignment horizontal="center" vertical="center"/>
    </xf>
    <xf numFmtId="0" fontId="32" fillId="37" borderId="0" xfId="47" applyFont="1" applyFill="1" applyBorder="1" applyAlignment="1">
      <alignment vertical="center" wrapText="1"/>
    </xf>
    <xf numFmtId="166" fontId="44" fillId="33" borderId="19" xfId="49" applyNumberFormat="1" applyFont="1" applyFill="1" applyBorder="1" applyAlignment="1">
      <alignment horizontal="center" vertical="center"/>
    </xf>
    <xf numFmtId="166" fontId="44" fillId="33" borderId="20" xfId="49" applyNumberFormat="1" applyFont="1" applyFill="1" applyBorder="1" applyAlignment="1">
      <alignment horizontal="center" vertical="center"/>
    </xf>
    <xf numFmtId="37" fontId="19" fillId="34" borderId="21" xfId="47" applyNumberFormat="1" applyFont="1" applyFill="1" applyBorder="1" applyAlignment="1">
      <alignment horizontal="center" vertical="center"/>
    </xf>
    <xf numFmtId="38" fontId="30" fillId="34" borderId="22" xfId="47" applyNumberFormat="1" applyFont="1" applyFill="1" applyBorder="1" applyAlignment="1">
      <alignment vertical="center"/>
    </xf>
    <xf numFmtId="37" fontId="48" fillId="42" borderId="0" xfId="47" applyNumberFormat="1" applyFont="1" applyFill="1" applyBorder="1" applyAlignment="1">
      <alignment horizontal="center" vertical="center"/>
    </xf>
    <xf numFmtId="0" fontId="22" fillId="42" borderId="0" xfId="47" applyFill="1"/>
    <xf numFmtId="0" fontId="24" fillId="42" borderId="0" xfId="47" applyFont="1" applyFill="1"/>
    <xf numFmtId="0" fontId="22" fillId="42" borderId="0" xfId="47" applyFill="1" applyBorder="1"/>
    <xf numFmtId="9" fontId="19" fillId="42" borderId="0" xfId="48" applyFont="1" applyFill="1"/>
    <xf numFmtId="0" fontId="19" fillId="42" borderId="0" xfId="47" applyFont="1" applyFill="1"/>
    <xf numFmtId="0" fontId="19" fillId="42" borderId="0" xfId="47" applyFont="1" applyFill="1" applyAlignment="1">
      <alignment vertical="center"/>
    </xf>
    <xf numFmtId="164" fontId="44" fillId="41" borderId="11" xfId="49" applyFont="1" applyFill="1" applyBorder="1" applyAlignment="1">
      <alignment horizontal="center" vertical="center"/>
    </xf>
    <xf numFmtId="164" fontId="44" fillId="41" borderId="14" xfId="49" applyFont="1" applyFill="1" applyBorder="1" applyAlignment="1">
      <alignment horizontal="center" vertical="center"/>
    </xf>
    <xf numFmtId="164" fontId="25" fillId="41" borderId="0" xfId="49" applyFont="1" applyFill="1" applyAlignment="1">
      <alignment horizontal="left" vertical="center"/>
    </xf>
    <xf numFmtId="164" fontId="46" fillId="41" borderId="0" xfId="49" applyFont="1" applyFill="1" applyAlignment="1">
      <alignment horizontal="left" indent="1"/>
    </xf>
    <xf numFmtId="0" fontId="40" fillId="42" borderId="0" xfId="47" applyFont="1" applyFill="1" applyAlignment="1">
      <alignment horizontal="left" indent="2"/>
    </xf>
    <xf numFmtId="164" fontId="29" fillId="42" borderId="0" xfId="49" applyFont="1" applyFill="1" applyAlignment="1">
      <alignment horizontal="left" indent="2"/>
    </xf>
    <xf numFmtId="164" fontId="30" fillId="42" borderId="0" xfId="49" applyFont="1" applyFill="1" applyAlignment="1">
      <alignment horizontal="left" indent="2"/>
    </xf>
    <xf numFmtId="0" fontId="22" fillId="41" borderId="0" xfId="47" applyFill="1" applyBorder="1"/>
    <xf numFmtId="164" fontId="23" fillId="42" borderId="0" xfId="49" applyFont="1" applyFill="1" applyBorder="1" applyAlignment="1">
      <alignment horizontal="left" indent="1"/>
    </xf>
    <xf numFmtId="0" fontId="32" fillId="41" borderId="0" xfId="47" applyFont="1" applyFill="1" applyBorder="1" applyAlignment="1">
      <alignment horizontal="centerContinuous" vertical="center" wrapText="1"/>
    </xf>
    <xf numFmtId="0" fontId="22" fillId="42" borderId="0" xfId="47" applyFont="1" applyFill="1"/>
    <xf numFmtId="0" fontId="22" fillId="42" borderId="0" xfId="47" applyFont="1" applyFill="1" applyBorder="1"/>
    <xf numFmtId="10" fontId="28" fillId="0" borderId="0" xfId="47" applyNumberFormat="1" applyFont="1" applyFill="1"/>
    <xf numFmtId="2" fontId="40" fillId="0" borderId="0" xfId="47" applyNumberFormat="1" applyFont="1" applyFill="1" applyBorder="1" applyAlignment="1">
      <alignment vertical="center"/>
    </xf>
    <xf numFmtId="0" fontId="22" fillId="0" borderId="0" xfId="47" applyFont="1" applyBorder="1"/>
    <xf numFmtId="10" fontId="22" fillId="0" borderId="0" xfId="47" applyNumberFormat="1" applyFill="1"/>
    <xf numFmtId="10" fontId="24" fillId="0" borderId="0" xfId="47" applyNumberFormat="1" applyFont="1" applyBorder="1"/>
    <xf numFmtId="10" fontId="22" fillId="0" borderId="0" xfId="47" applyNumberFormat="1" applyBorder="1"/>
    <xf numFmtId="10" fontId="19" fillId="0" borderId="0" xfId="47" applyNumberFormat="1" applyFont="1" applyBorder="1"/>
    <xf numFmtId="10" fontId="22" fillId="0" borderId="0" xfId="47" applyNumberFormat="1" applyFont="1" applyFill="1"/>
    <xf numFmtId="9" fontId="49" fillId="0" borderId="0" xfId="1" applyFont="1" applyFill="1"/>
    <xf numFmtId="0" fontId="50" fillId="0" borderId="0" xfId="47" applyFont="1" applyBorder="1"/>
    <xf numFmtId="0" fontId="51" fillId="0" borderId="0" xfId="47" applyFont="1" applyFill="1"/>
    <xf numFmtId="0" fontId="52" fillId="0" borderId="0" xfId="47" applyFont="1" applyBorder="1"/>
    <xf numFmtId="0" fontId="51" fillId="0" borderId="0" xfId="47" applyFont="1" applyBorder="1"/>
    <xf numFmtId="165" fontId="53" fillId="33" borderId="11" xfId="48" applyNumberFormat="1" applyFont="1" applyFill="1" applyBorder="1" applyAlignment="1">
      <alignment horizontal="center" vertical="center"/>
    </xf>
    <xf numFmtId="165" fontId="53" fillId="41" borderId="11" xfId="48" applyNumberFormat="1" applyFont="1" applyFill="1" applyBorder="1" applyAlignment="1">
      <alignment horizontal="center" vertical="center"/>
    </xf>
    <xf numFmtId="165" fontId="54" fillId="41" borderId="11" xfId="48" applyNumberFormat="1" applyFont="1" applyFill="1" applyBorder="1" applyAlignment="1">
      <alignment horizontal="center" vertical="center"/>
    </xf>
    <xf numFmtId="167" fontId="47" fillId="33" borderId="0" xfId="47" applyNumberFormat="1" applyFont="1" applyFill="1" applyBorder="1" applyAlignment="1">
      <alignment horizontal="left" vertical="center"/>
    </xf>
    <xf numFmtId="167" fontId="47" fillId="33" borderId="0" xfId="47" applyNumberFormat="1" applyFont="1" applyFill="1" applyBorder="1" applyAlignment="1">
      <alignment horizontal="center" vertical="center"/>
    </xf>
    <xf numFmtId="0" fontId="32" fillId="37" borderId="0" xfId="47" applyFont="1" applyFill="1" applyBorder="1" applyAlignment="1">
      <alignment horizontal="center" vertical="center"/>
    </xf>
    <xf numFmtId="0" fontId="33" fillId="0" borderId="0" xfId="47" applyFont="1" applyBorder="1" applyAlignment="1">
      <alignment horizontal="center" vertical="center" wrapText="1"/>
    </xf>
    <xf numFmtId="0" fontId="44" fillId="33" borderId="18" xfId="47" applyFont="1" applyFill="1" applyBorder="1" applyAlignment="1">
      <alignment horizontal="center" vertical="center"/>
    </xf>
    <xf numFmtId="0" fontId="44" fillId="33" borderId="10" xfId="47" applyFont="1" applyFill="1" applyBorder="1" applyAlignment="1">
      <alignment horizontal="center" vertical="center"/>
    </xf>
    <xf numFmtId="0" fontId="44" fillId="33" borderId="18" xfId="47" applyFont="1" applyFill="1" applyBorder="1" applyAlignment="1">
      <alignment horizontal="center" vertical="center" wrapText="1"/>
    </xf>
    <xf numFmtId="0" fontId="44" fillId="33" borderId="0" xfId="47" applyFont="1" applyFill="1" applyBorder="1" applyAlignment="1">
      <alignment horizontal="center" vertical="center"/>
    </xf>
    <xf numFmtId="0" fontId="44" fillId="33" borderId="0" xfId="47" applyFont="1" applyFill="1" applyBorder="1" applyAlignment="1">
      <alignment horizontal="center" vertical="center" wrapText="1"/>
    </xf>
    <xf numFmtId="0" fontId="47" fillId="33" borderId="0" xfId="47" applyFont="1" applyFill="1" applyBorder="1" applyAlignment="1">
      <alignment horizontal="right" vertical="center"/>
    </xf>
    <xf numFmtId="0" fontId="44" fillId="33" borderId="10" xfId="47" applyFont="1" applyFill="1" applyBorder="1" applyAlignment="1">
      <alignment horizontal="center" vertical="center" wrapText="1"/>
    </xf>
    <xf numFmtId="0" fontId="35" fillId="0" borderId="0" xfId="47" applyFont="1" applyBorder="1" applyAlignment="1">
      <alignment horizontal="left" vertical="center" wrapText="1" indent="1"/>
    </xf>
    <xf numFmtId="0" fontId="32" fillId="37" borderId="0" xfId="47" applyFont="1" applyFill="1" applyBorder="1" applyAlignment="1">
      <alignment horizontal="center" vertical="center" wrapText="1"/>
    </xf>
  </cellXfs>
  <cellStyles count="50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Neutra" xfId="9" builtinId="28" customBuiltin="1"/>
    <cellStyle name="Normal" xfId="0" builtinId="0"/>
    <cellStyle name="Normal 2 2" xfId="43"/>
    <cellStyle name="Normal 5" xfId="44"/>
    <cellStyle name="Normal_base_Segmentos" xfId="45"/>
    <cellStyle name="Normal_CUSTOS_BAU_200802R" xfId="46"/>
    <cellStyle name="Normal_produtos_DPB" xfId="47"/>
    <cellStyle name="Nota" xfId="16" builtinId="10" customBuiltin="1"/>
    <cellStyle name="Porcentagem" xfId="1" builtinId="5" customBuiltin="1"/>
    <cellStyle name="Porcentagem 2" xfId="48"/>
    <cellStyle name="Saída" xfId="11" builtinId="21" customBuiltin="1"/>
    <cellStyle name="Separador de milhares 2 2" xfId="49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5">
    <dxf>
      <font>
        <color rgb="FF00B050"/>
      </font>
    </dxf>
    <dxf>
      <font>
        <color rgb="FFFF3300"/>
      </font>
      <fill>
        <patternFill>
          <bgColor rgb="FF376091"/>
        </patternFill>
      </fill>
    </dxf>
    <dxf>
      <font>
        <color rgb="FF92D050"/>
      </font>
      <fill>
        <patternFill>
          <bgColor rgb="FF376091"/>
        </patternFill>
      </fill>
    </dxf>
    <dxf>
      <font>
        <condense val="0"/>
        <extend val="0"/>
        <color indexed="8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990000"/>
      <color rgb="FFFF3300"/>
      <color rgb="FF37609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10"/>
  <c:chart>
    <c:autoTitleDeleted val="1"/>
    <c:plotArea>
      <c:layout/>
      <c:ofPieChart>
        <c:ofPieType val="pie"/>
        <c:varyColors val="1"/>
        <c:ser>
          <c:idx val="0"/>
          <c:order val="0"/>
          <c:tx>
            <c:strRef>
              <c:f>DCRC_Custos_Area!$G$7</c:f>
              <c:strCache>
                <c:ptCount val="1"/>
                <c:pt idx="0">
                  <c:v>Real</c:v>
                </c:pt>
              </c:strCache>
            </c:strRef>
          </c:tx>
          <c:spPr>
            <a:effectLst/>
          </c:spPr>
          <c:dLbls>
            <c:dLbl>
              <c:idx val="1"/>
              <c:layout>
                <c:manualLayout>
                  <c:x val="3.465336063761261E-2"/>
                  <c:y val="1.9986337324272841E-2"/>
                </c:manualLayout>
              </c:layout>
              <c:dLblPos val="bestFit"/>
              <c:showPercent val="1"/>
            </c:dLbl>
            <c:dLblPos val="bestFit"/>
            <c:showPercent val="1"/>
          </c:dLbls>
          <c:cat>
            <c:strRef>
              <c:f>(DCRC_Custos_Area!$E$5,DCRC_Custos_Area!$G$5,DCRC_Custos_Area!$I$5,DCRC_Custos_Area!$K$5,DCRC_Custos_Area!$M$5,DCRC_Custos_Area!$O$5,DCRC_Custos_Area!$Q$5)</c:f>
              <c:strCache>
                <c:ptCount val="7"/>
                <c:pt idx="0">
                  <c:v>Chefia - 
DCRC</c:v>
                </c:pt>
                <c:pt idx="1">
                  <c:v>SCRF</c:v>
                </c:pt>
                <c:pt idx="2">
                  <c:v>SF</c:v>
                </c:pt>
                <c:pt idx="3">
                  <c:v>SCFC</c:v>
                </c:pt>
                <c:pt idx="4">
                  <c:v>SPF</c:v>
                </c:pt>
                <c:pt idx="5">
                  <c:v>GTPS</c:v>
                </c:pt>
                <c:pt idx="6">
                  <c:v>OUVID. 
- WMS</c:v>
                </c:pt>
              </c:strCache>
            </c:strRef>
          </c:cat>
          <c:val>
            <c:numRef>
              <c:f>(DCRC_Custos_Area!$E$9,DCRC_Custos_Area!$G$9,DCRC_Custos_Area!$I$9,DCRC_Custos_Area!$K$9,DCRC_Custos_Area!$M$9,DCRC_Custos_Area!$O$9,DCRC_Custos_Area!$Q$9)</c:f>
              <c:numCache>
                <c:formatCode>#,##0;[Red]\-#,##0</c:formatCode>
                <c:ptCount val="7"/>
                <c:pt idx="0">
                  <c:v>1765.6612114160002</c:v>
                </c:pt>
                <c:pt idx="1">
                  <c:v>4979.0640167680003</c:v>
                </c:pt>
                <c:pt idx="2">
                  <c:v>1184.5673704599999</c:v>
                </c:pt>
                <c:pt idx="3">
                  <c:v>1624.5943360690003</c:v>
                </c:pt>
                <c:pt idx="4">
                  <c:v>1606.1601242090003</c:v>
                </c:pt>
                <c:pt idx="5">
                  <c:v>146.393120117</c:v>
                </c:pt>
                <c:pt idx="6">
                  <c:v>68.339191607000004</c:v>
                </c:pt>
              </c:numCache>
            </c:numRef>
          </c:val>
        </c:ser>
        <c:dLbls>
          <c:showPercent val="1"/>
        </c:dLbls>
        <c:gapWidth val="143"/>
        <c:splitType val="cust"/>
        <c:custSplit>
          <c:secondPiePt val="5"/>
          <c:secondPiePt val="6"/>
        </c:custSplit>
        <c:secondPieSize val="75"/>
        <c:serLines/>
      </c:ofPieChart>
      <c:spPr>
        <a:noFill/>
        <a:ln w="25400">
          <a:noFill/>
        </a:ln>
      </c:spPr>
    </c:plotArea>
    <c:legend>
      <c:legendPos val="t"/>
      <c:layout/>
    </c:legend>
    <c:plotVisOnly val="1"/>
    <c:dispBlanksAs val="zero"/>
  </c:chart>
  <c:printSettings>
    <c:headerFooter alignWithMargins="0"/>
    <c:pageMargins b="0.98425196899999956" l="0.78740157499999996" r="0.78740157499999996" t="0.98425196899999956" header="0.49212598500000904" footer="0.49212598500000904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10"/>
  <c:chart>
    <c:plotArea>
      <c:layout>
        <c:manualLayout>
          <c:layoutTarget val="inner"/>
          <c:xMode val="edge"/>
          <c:yMode val="edge"/>
          <c:x val="3.914945596000978E-2"/>
          <c:y val="4.7244215582491547E-2"/>
          <c:w val="0.93505421607503225"/>
          <c:h val="0.78173398071198252"/>
        </c:manualLayout>
      </c:layout>
      <c:barChart>
        <c:barDir val="col"/>
        <c:grouping val="clustered"/>
        <c:ser>
          <c:idx val="0"/>
          <c:order val="0"/>
          <c:tx>
            <c:strRef>
              <c:f>DCRC_Custos_Area!$G$7</c:f>
              <c:strCache>
                <c:ptCount val="1"/>
                <c:pt idx="0">
                  <c:v>Real</c:v>
                </c:pt>
              </c:strCache>
            </c:strRef>
          </c:tx>
          <c:spPr>
            <a:effectLst/>
          </c:spPr>
          <c:dLbls>
            <c:dLbl>
              <c:idx val="0"/>
              <c:layout>
                <c:manualLayout>
                  <c:x val="-6.1073633562495474E-3"/>
                  <c:y val="-3.0844191158402843E-2"/>
                </c:manualLayout>
              </c:layout>
              <c:dLblPos val="outEnd"/>
              <c:showVal val="1"/>
            </c:dLbl>
            <c:dLbl>
              <c:idx val="1"/>
              <c:layout>
                <c:manualLayout>
                  <c:x val="-5.8847617598476913E-3"/>
                  <c:y val="-2.2164259906340668E-2"/>
                </c:manualLayout>
              </c:layout>
              <c:dLblPos val="outEnd"/>
              <c:showVal val="1"/>
            </c:dLbl>
            <c:dLbl>
              <c:idx val="2"/>
              <c:layout>
                <c:manualLayout>
                  <c:x val="4.0756516045045634E-4"/>
                  <c:y val="-2.7934034769594811E-2"/>
                </c:manualLayout>
              </c:layout>
              <c:dLblPos val="outEnd"/>
              <c:showVal val="1"/>
            </c:dLbl>
            <c:dLbl>
              <c:idx val="3"/>
              <c:layout>
                <c:manualLayout>
                  <c:x val="-2.3136940962804652E-3"/>
                  <c:y val="-2.5350610701221406E-2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4185620829744968E-17"/>
                  <c:y val="-3.1496062992125991E-2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1.1098426250614707E-3"/>
                  <c:y val="-3.9351991060403019E-2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-5.0581689428427024E-3"/>
                  <c:y val="-3.1496062992125991E-2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3.0349013657056723E-3"/>
                  <c:y val="-2.0997375328084256E-2"/>
                </c:manualLayout>
              </c:layout>
              <c:dLblPos val="outEnd"/>
              <c:showVal val="1"/>
            </c:dLbl>
            <c:txPr>
              <a:bodyPr rot="0" vert="horz"/>
              <a:lstStyle/>
              <a:p>
                <a:pPr>
                  <a:defRPr sz="750"/>
                </a:pPr>
                <a:endParaRPr lang="pt-BR"/>
              </a:p>
            </c:txPr>
            <c:showVal val="1"/>
          </c:dLbls>
          <c:cat>
            <c:strRef>
              <c:f>(DCRC_Custos_Area!$T$5,DCRC_Custos_Area!$E$5,DCRC_Custos_Area!$G$5,DCRC_Custos_Area!$I$5,DCRC_Custos_Area!$K$5,DCRC_Custos_Area!$M$5,DCRC_Custos_Area!$O$5,DCRC_Custos_Area!$Q$5)</c:f>
              <c:strCache>
                <c:ptCount val="8"/>
                <c:pt idx="0">
                  <c:v>TOTAL
 DCRC</c:v>
                </c:pt>
                <c:pt idx="1">
                  <c:v>Chefia - 
DCRC</c:v>
                </c:pt>
                <c:pt idx="2">
                  <c:v>SCRF</c:v>
                </c:pt>
                <c:pt idx="3">
                  <c:v>SF</c:v>
                </c:pt>
                <c:pt idx="4">
                  <c:v>SCFC</c:v>
                </c:pt>
                <c:pt idx="5">
                  <c:v>SPF</c:v>
                </c:pt>
                <c:pt idx="6">
                  <c:v>GTPS</c:v>
                </c:pt>
                <c:pt idx="7">
                  <c:v>OUVID. 
- WMS</c:v>
                </c:pt>
              </c:strCache>
            </c:strRef>
          </c:cat>
          <c:val>
            <c:numRef>
              <c:f>(DCRC_Custos_Area!$T$9,DCRC_Custos_Area!$E$9,DCRC_Custos_Area!$G$9,DCRC_Custos_Area!$I$9,DCRC_Custos_Area!$K$9,DCRC_Custos_Area!$M$9,DCRC_Custos_Area!$O$9,DCRC_Custos_Area!$Q$9)</c:f>
              <c:numCache>
                <c:formatCode>#,##0;[Red]\-#,##0</c:formatCode>
                <c:ptCount val="8"/>
                <c:pt idx="0">
                  <c:v>11374.779370645998</c:v>
                </c:pt>
                <c:pt idx="1">
                  <c:v>1765.6612114160002</c:v>
                </c:pt>
                <c:pt idx="2">
                  <c:v>4979.0640167680003</c:v>
                </c:pt>
                <c:pt idx="3">
                  <c:v>1184.5673704599999</c:v>
                </c:pt>
                <c:pt idx="4">
                  <c:v>1624.5943360690003</c:v>
                </c:pt>
                <c:pt idx="5">
                  <c:v>1606.1601242090003</c:v>
                </c:pt>
                <c:pt idx="6">
                  <c:v>146.393120117</c:v>
                </c:pt>
                <c:pt idx="7">
                  <c:v>68.339191607000004</c:v>
                </c:pt>
              </c:numCache>
            </c:numRef>
          </c:val>
        </c:ser>
        <c:ser>
          <c:idx val="1"/>
          <c:order val="1"/>
          <c:tx>
            <c:strRef>
              <c:f>DCRC_Custos_Area!$J$7</c:f>
              <c:strCache>
                <c:ptCount val="1"/>
                <c:pt idx="0">
                  <c:v>Orçado</c:v>
                </c:pt>
              </c:strCache>
            </c:strRef>
          </c:tx>
          <c:spPr>
            <a:effectLst/>
          </c:spPr>
          <c:dLbls>
            <c:dLbl>
              <c:idx val="0"/>
              <c:layout>
                <c:manualLayout>
                  <c:x val="9.2839850864272766E-3"/>
                  <c:y val="-1.2104003269609863E-2"/>
                </c:manualLayout>
              </c:layout>
              <c:dLblPos val="outEnd"/>
              <c:showVal val="1"/>
            </c:dLbl>
            <c:dLbl>
              <c:idx val="1"/>
              <c:layout>
                <c:manualLayout>
                  <c:x val="3.0349013657056723E-3"/>
                  <c:y val="-2.0997375328084256E-2"/>
                </c:manualLayout>
              </c:layout>
              <c:dLblPos val="outEnd"/>
              <c:showVal val="1"/>
            </c:dLbl>
            <c:dLbl>
              <c:idx val="2"/>
              <c:layout>
                <c:manualLayout>
                  <c:x val="3.0349013657056723E-3"/>
                  <c:y val="-3.8495188101487311E-2"/>
                </c:manualLayout>
              </c:layout>
              <c:dLblPos val="outEnd"/>
              <c:showVal val="1"/>
            </c:dLbl>
            <c:dLbl>
              <c:idx val="3"/>
              <c:layout>
                <c:manualLayout>
                  <c:x val="4.7315785071632022E-3"/>
                  <c:y val="-3.8543685976260844E-2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-1.3432204869481945E-4"/>
                  <c:y val="-3.3774500270108213E-2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1.4033033427725936E-3"/>
                  <c:y val="-5.4243219597550296E-2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0"/>
                  <c:y val="-4.1994750656167965E-2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0"/>
                  <c:y val="-1.3998250218722908E-2"/>
                </c:manualLayout>
              </c:layout>
              <c:dLblPos val="outEnd"/>
              <c:showVal val="1"/>
            </c:dLbl>
            <c:txPr>
              <a:bodyPr rot="0"/>
              <a:lstStyle/>
              <a:p>
                <a:pPr>
                  <a:defRPr sz="750"/>
                </a:pPr>
                <a:endParaRPr lang="pt-BR"/>
              </a:p>
            </c:txPr>
            <c:showVal val="1"/>
          </c:dLbls>
          <c:cat>
            <c:strRef>
              <c:f>(DCRC_Custos_Area!$T$5,DCRC_Custos_Area!$E$5,DCRC_Custos_Area!$G$5,DCRC_Custos_Area!$I$5,DCRC_Custos_Area!$K$5,DCRC_Custos_Area!$M$5,DCRC_Custos_Area!$O$5,DCRC_Custos_Area!$Q$5)</c:f>
              <c:strCache>
                <c:ptCount val="8"/>
                <c:pt idx="0">
                  <c:v>TOTAL
 DCRC</c:v>
                </c:pt>
                <c:pt idx="1">
                  <c:v>Chefia - 
DCRC</c:v>
                </c:pt>
                <c:pt idx="2">
                  <c:v>SCRF</c:v>
                </c:pt>
                <c:pt idx="3">
                  <c:v>SF</c:v>
                </c:pt>
                <c:pt idx="4">
                  <c:v>SCFC</c:v>
                </c:pt>
                <c:pt idx="5">
                  <c:v>SPF</c:v>
                </c:pt>
                <c:pt idx="6">
                  <c:v>GTPS</c:v>
                </c:pt>
                <c:pt idx="7">
                  <c:v>OUVID. 
- WMS</c:v>
                </c:pt>
              </c:strCache>
            </c:strRef>
          </c:cat>
          <c:val>
            <c:numRef>
              <c:f>(DCRC_Custos_Area!$U$9,DCRC_Custos_Area!$F$9,DCRC_Custos_Area!$H$9,DCRC_Custos_Area!$J$9,DCRC_Custos_Area!$L$9,DCRC_Custos_Area!$N$9,DCRC_Custos_Area!$P$9,DCRC_Custos_Area!$R$9)</c:f>
              <c:numCache>
                <c:formatCode>#,##0;[Red]\-#,##0</c:formatCode>
                <c:ptCount val="8"/>
                <c:pt idx="0">
                  <c:v>13276.739614450002</c:v>
                </c:pt>
                <c:pt idx="1">
                  <c:v>4193.9614996010005</c:v>
                </c:pt>
                <c:pt idx="2">
                  <c:v>4228.9782611789997</c:v>
                </c:pt>
                <c:pt idx="3">
                  <c:v>1470.9307760430002</c:v>
                </c:pt>
                <c:pt idx="4">
                  <c:v>1025.072247475</c:v>
                </c:pt>
                <c:pt idx="5">
                  <c:v>2104.4573988279994</c:v>
                </c:pt>
                <c:pt idx="6">
                  <c:v>144.698737228</c:v>
                </c:pt>
                <c:pt idx="7">
                  <c:v>108.64069409600002</c:v>
                </c:pt>
              </c:numCache>
            </c:numRef>
          </c:val>
        </c:ser>
        <c:gapWidth val="130"/>
        <c:overlap val="-75"/>
        <c:axId val="50451968"/>
        <c:axId val="50453504"/>
      </c:barChart>
      <c:catAx>
        <c:axId val="50451968"/>
        <c:scaling>
          <c:orientation val="minMax"/>
        </c:scaling>
        <c:axPos val="b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aseline="0"/>
            </a:pPr>
            <a:endParaRPr lang="pt-BR"/>
          </a:p>
        </c:txPr>
        <c:crossAx val="50453504"/>
        <c:crosses val="autoZero"/>
        <c:auto val="1"/>
        <c:lblAlgn val="ctr"/>
        <c:lblOffset val="100"/>
        <c:tickLblSkip val="1"/>
        <c:tickMarkSkip val="1"/>
      </c:catAx>
      <c:valAx>
        <c:axId val="50453504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R$ MM</a:t>
                </a:r>
              </a:p>
            </c:rich>
          </c:tx>
          <c:layout>
            <c:manualLayout>
              <c:xMode val="edge"/>
              <c:yMode val="edge"/>
              <c:x val="1.8968151369138975E-2"/>
              <c:y val="0.35958092015357984"/>
            </c:manualLayout>
          </c:layout>
        </c:title>
        <c:numFmt formatCode="#,##0;[Red]\-#,##0" sourceLinked="1"/>
        <c:tickLblPos val="nextTo"/>
        <c:crossAx val="504519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0499673728629573"/>
          <c:y val="0.92651178933211165"/>
          <c:w val="0.38347839116796417"/>
          <c:h val="6.5163590088428994E-2"/>
        </c:manualLayout>
      </c:layout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</c:chart>
  <c:printSettings>
    <c:headerFooter alignWithMargins="0"/>
    <c:pageMargins b="0.98425196899999956" l="0.78740157499999996" r="0.78740157499999996" t="0.98425196899999956" header="0.49212598500000926" footer="0.49212598500000926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pt-BR"/>
  <c:chart>
    <c:plotArea>
      <c:layout>
        <c:manualLayout>
          <c:layoutTarget val="inner"/>
          <c:xMode val="edge"/>
          <c:yMode val="edge"/>
          <c:x val="0.10526341552958469"/>
          <c:y val="0.12646384484760112"/>
          <c:w val="0.86215749862326374"/>
          <c:h val="0.80562153014025262"/>
        </c:manualLayout>
      </c:layout>
      <c:radarChart>
        <c:radarStyle val="filled"/>
        <c:ser>
          <c:idx val="0"/>
          <c:order val="0"/>
          <c:spPr>
            <a:solidFill>
              <a:srgbClr val="FF8080"/>
            </a:solidFill>
            <a:ln w="25400">
              <a:noFill/>
            </a:ln>
          </c:spPr>
        </c:ser>
        <c:axId val="53113984"/>
        <c:axId val="53299456"/>
      </c:radarChart>
      <c:catAx>
        <c:axId val="53113984"/>
        <c:scaling>
          <c:orientation val="minMax"/>
        </c:scaling>
        <c:axPos val="b"/>
        <c:majorGridlines>
          <c:spPr>
            <a:ln w="12700">
              <a:solidFill>
                <a:srgbClr val="808080"/>
              </a:solidFill>
              <a:prstDash val="sysDash"/>
            </a:ln>
          </c:spPr>
        </c:majorGridlines>
        <c:numFmt formatCode="General" sourceLinked="1"/>
        <c:tickLblPos val="nextTo"/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3299456"/>
        <c:crosses val="autoZero"/>
        <c:lblAlgn val="ctr"/>
        <c:lblOffset val="100"/>
      </c:catAx>
      <c:valAx>
        <c:axId val="53299456"/>
        <c:scaling>
          <c:orientation val="minMax"/>
          <c:max val="1"/>
        </c:scaling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tickLblPos val="nextTo"/>
        <c:spPr>
          <a:ln w="12700">
            <a:solidFill>
              <a:srgbClr val="808080"/>
            </a:solidFill>
            <a:prstDash val="sysDash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3113984"/>
        <c:crosses val="autoZero"/>
        <c:crossBetween val="between"/>
        <c:majorUnit val="0.1"/>
        <c:minorUnit val="2.0000000000000011E-2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904" footer="0.492125985000009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10"/>
  <c:chart>
    <c:plotArea>
      <c:layout>
        <c:manualLayout>
          <c:layoutTarget val="inner"/>
          <c:xMode val="edge"/>
          <c:yMode val="edge"/>
          <c:x val="0.10725994156390829"/>
          <c:y val="3.4426417628029816E-2"/>
          <c:w val="0.54365948596048164"/>
          <c:h val="0.84442513168941713"/>
        </c:manualLayout>
      </c:layout>
      <c:barChart>
        <c:barDir val="col"/>
        <c:grouping val="percentStacked"/>
        <c:ser>
          <c:idx val="0"/>
          <c:order val="0"/>
          <c:tx>
            <c:strRef>
              <c:f>DCRC_Custos_Area!$D$12</c:f>
              <c:strCache>
                <c:ptCount val="1"/>
                <c:pt idx="0">
                  <c:v>Pessoal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DCRC_Custos_Area!$Y$12:$Z$12</c:f>
              <c:numCache>
                <c:formatCode>0%</c:formatCode>
                <c:ptCount val="2"/>
                <c:pt idx="0">
                  <c:v>0.51016999271797137</c:v>
                </c:pt>
                <c:pt idx="1">
                  <c:v>0.4566681512232223</c:v>
                </c:pt>
              </c:numCache>
            </c:numRef>
          </c:val>
        </c:ser>
        <c:ser>
          <c:idx val="1"/>
          <c:order val="1"/>
          <c:tx>
            <c:strRef>
              <c:f>DCRC_Custos_Area!$D$13</c:f>
              <c:strCache>
                <c:ptCount val="1"/>
                <c:pt idx="0">
                  <c:v>Bônus Diretos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DCRC_Custos_Area!$Y$13:$Z$13</c:f>
              <c:numCache>
                <c:formatCode>0%</c:formatCode>
                <c:ptCount val="2"/>
                <c:pt idx="0">
                  <c:v>0.20332472638593715</c:v>
                </c:pt>
                <c:pt idx="1">
                  <c:v>0.17375871927985889</c:v>
                </c:pt>
              </c:numCache>
            </c:numRef>
          </c:val>
        </c:ser>
        <c:ser>
          <c:idx val="2"/>
          <c:order val="2"/>
          <c:tx>
            <c:strRef>
              <c:f>DCRC_Custos_Area!$D$14</c:f>
              <c:strCache>
                <c:ptCount val="1"/>
                <c:pt idx="0">
                  <c:v>Serviços de Terceiros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DCRC_Custos_Area!$Y$14:$Z$14</c:f>
              <c:numCache>
                <c:formatCode>0%</c:formatCode>
                <c:ptCount val="2"/>
                <c:pt idx="0">
                  <c:v>0.19251535424512023</c:v>
                </c:pt>
                <c:pt idx="1">
                  <c:v>0.28118029129832028</c:v>
                </c:pt>
              </c:numCache>
            </c:numRef>
          </c:val>
        </c:ser>
        <c:ser>
          <c:idx val="3"/>
          <c:order val="3"/>
          <c:tx>
            <c:strRef>
              <c:f>DCRC_Custos_Area!$D$15</c:f>
              <c:strCache>
                <c:ptCount val="1"/>
                <c:pt idx="0">
                  <c:v>Instalações / Equip.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DCRC_Custos_Area!$Y$15:$Z$15</c:f>
              <c:numCache>
                <c:formatCode>0%</c:formatCode>
                <c:ptCount val="2"/>
                <c:pt idx="0">
                  <c:v>7.5134390569235571E-2</c:v>
                </c:pt>
                <c:pt idx="1">
                  <c:v>0.10458832692219847</c:v>
                </c:pt>
              </c:numCache>
            </c:numRef>
          </c:val>
        </c:ser>
        <c:ser>
          <c:idx val="4"/>
          <c:order val="4"/>
          <c:tx>
            <c:strRef>
              <c:f>DCRC_Custos_Area!$D$23</c:f>
              <c:strCache>
                <c:ptCount val="1"/>
                <c:pt idx="0">
                  <c:v>Bônus Indiretos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DCRC_Custos_Area!$Y$23:$Z$23</c:f>
              <c:numCache>
                <c:formatCode>0%</c:formatCode>
                <c:ptCount val="2"/>
                <c:pt idx="0">
                  <c:v>-0.2041334260275969</c:v>
                </c:pt>
                <c:pt idx="1">
                  <c:v>-0.17375872042057572</c:v>
                </c:pt>
              </c:numCache>
            </c:numRef>
          </c:val>
        </c:ser>
        <c:ser>
          <c:idx val="5"/>
          <c:order val="5"/>
          <c:tx>
            <c:strRef>
              <c:f>DCRC_Custos_Area!$D$25</c:f>
              <c:strCache>
                <c:ptCount val="1"/>
                <c:pt idx="0">
                  <c:v>Desenv. de Sistemas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DCRC_Custos_Area!$Y$25:$Z$25</c:f>
              <c:numCache>
                <c:formatCode>0%</c:formatCode>
                <c:ptCount val="2"/>
                <c:pt idx="0">
                  <c:v>0.18244358533031854</c:v>
                </c:pt>
                <c:pt idx="1">
                  <c:v>0.11743659544878331</c:v>
                </c:pt>
              </c:numCache>
            </c:numRef>
          </c:val>
        </c:ser>
        <c:ser>
          <c:idx val="6"/>
          <c:order val="6"/>
          <c:tx>
            <c:strRef>
              <c:f>DCRC_Custos_Area!$D$27</c:f>
              <c:strCache>
                <c:ptCount val="1"/>
                <c:pt idx="0">
                  <c:v>      Outros      </c:v>
                </c:pt>
              </c:strCache>
            </c:strRef>
          </c:tx>
          <c:dLbls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DCRC_Custos_Area!$Y$27:$Z$27</c:f>
              <c:numCache>
                <c:formatCode>0%</c:formatCode>
                <c:ptCount val="2"/>
                <c:pt idx="0">
                  <c:v>4.0545376779014208E-2</c:v>
                </c:pt>
                <c:pt idx="1">
                  <c:v>4.0126636248192293E-2</c:v>
                </c:pt>
              </c:numCache>
            </c:numRef>
          </c:val>
        </c:ser>
        <c:gapWidth val="75"/>
        <c:overlap val="100"/>
        <c:axId val="55551488"/>
        <c:axId val="55553024"/>
      </c:barChart>
      <c:catAx>
        <c:axId val="55551488"/>
        <c:scaling>
          <c:orientation val="minMax"/>
        </c:scaling>
        <c:axPos val="b"/>
        <c:numFmt formatCode="General" sourceLinked="1"/>
        <c:majorTickMark val="none"/>
        <c:tickLblPos val="nextTo"/>
        <c:crossAx val="55553024"/>
        <c:crosses val="autoZero"/>
        <c:auto val="1"/>
        <c:lblAlgn val="ctr"/>
        <c:lblOffset val="100"/>
      </c:catAx>
      <c:valAx>
        <c:axId val="55553024"/>
        <c:scaling>
          <c:orientation val="minMax"/>
          <c:min val="0"/>
        </c:scaling>
        <c:delete val="1"/>
        <c:axPos val="l"/>
        <c:majorGridlines/>
        <c:numFmt formatCode="0%" sourceLinked="1"/>
        <c:tickLblPos val="nextTo"/>
        <c:crossAx val="5555148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67859237340556156"/>
          <c:y val="3.231265954769353E-2"/>
          <c:w val="0.32140762659445277"/>
          <c:h val="0.75573062956172277"/>
        </c:manualLayout>
      </c:layout>
    </c:legend>
    <c:plotVisOnly val="1"/>
    <c:dispBlanksAs val="gap"/>
  </c:chart>
  <c:printSettings>
    <c:headerFooter/>
    <c:pageMargins b="0.78740157499999996" l="0.511811024" r="0.511811024" t="0.78740157499999996" header="0.31496062000000596" footer="0.31496062000000596"/>
    <c:pageSetup paperSize="9" orientation="landscape" horizontalDpi="200" verticalDpi="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22682785996266"/>
          <c:y val="7.3332017871346425E-2"/>
          <c:w val="0.6249673738209035"/>
          <c:h val="0.84892538265876216"/>
        </c:manualLayout>
      </c:layout>
      <c:barChart>
        <c:barDir val="bar"/>
        <c:grouping val="stacked"/>
        <c:ser>
          <c:idx val="0"/>
          <c:order val="0"/>
          <c:dLbls>
            <c:dLbl>
              <c:idx val="0"/>
              <c:layout>
                <c:manualLayout>
                  <c:x val="-3.0669905601894715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1"/>
              <c:layout>
                <c:manualLayout>
                  <c:x val="-4.6004858402841672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2"/>
              <c:layout>
                <c:manualLayout>
                  <c:x val="-3.3736896162083932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3"/>
              <c:layout>
                <c:manualLayout>
                  <c:x val="-2.7602915041705256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5"/>
              <c:layout>
                <c:manualLayout>
                  <c:x val="-3.9870877282463101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6"/>
              <c:layout>
                <c:manualLayout>
                  <c:x val="-2.7602915041705256E-2"/>
                  <c:y val="-3.2210219617900826E-3"/>
                </c:manualLayout>
              </c:layout>
              <c:dLblPos val="inEnd"/>
              <c:showVal val="1"/>
              <c:separator>
</c:separator>
            </c:dLbl>
            <c:dLbl>
              <c:idx val="8"/>
              <c:layout>
                <c:manualLayout>
                  <c:x val="-6.7473792324167808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9"/>
              <c:layout>
                <c:manualLayout>
                  <c:x val="-4.9071848963031107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10"/>
              <c:layout>
                <c:manualLayout>
                  <c:x val="-5.5205830083410005E-2"/>
                  <c:y val="0"/>
                </c:manualLayout>
              </c:layout>
              <c:dLblPos val="inEnd"/>
              <c:showVal val="1"/>
              <c:separator>
</c:separator>
            </c:dLbl>
            <c:dLbl>
              <c:idx val="11"/>
              <c:layout>
                <c:manualLayout>
                  <c:x val="-5.5205830083410068E-2"/>
                  <c:y val="0"/>
                </c:manualLayout>
              </c:layout>
              <c:dLblPos val="inEnd"/>
              <c:showVal val="1"/>
              <c:separator>
</c:separator>
            </c:dLbl>
            <c:numFmt formatCode="0%" sourceLinked="0"/>
            <c:spPr>
              <a:scene3d>
                <a:camera prst="orthographicFront"/>
                <a:lightRig rig="threePt" dir="t"/>
              </a:scene3d>
              <a:sp3d prstMaterial="softEdge"/>
            </c:spPr>
            <c:txPr>
              <a:bodyPr rot="0"/>
              <a:lstStyle/>
              <a:p>
                <a:pPr>
                  <a:defRPr>
                    <a:solidFill>
                      <a:schemeClr val="accent1"/>
                    </a:solidFill>
                  </a:defRPr>
                </a:pPr>
                <a:endParaRPr lang="pt-BR"/>
              </a:p>
            </c:txPr>
            <c:dLblPos val="inEnd"/>
            <c:showVal val="1"/>
            <c:separator>
</c:separator>
          </c:dLbls>
          <c:cat>
            <c:strRef>
              <c:f>(DCRC_Custos_Area!$D$12:$D$20,DCRC_Custos_Area!$D$23:$D$26)</c:f>
              <c:strCache>
                <c:ptCount val="13"/>
                <c:pt idx="0">
                  <c:v>Pessoal</c:v>
                </c:pt>
                <c:pt idx="1">
                  <c:v>Bônus Diretos</c:v>
                </c:pt>
                <c:pt idx="2">
                  <c:v>Serviços de Terceiros</c:v>
                </c:pt>
                <c:pt idx="3">
                  <c:v>Instalações / Equip.</c:v>
                </c:pt>
                <c:pt idx="4">
                  <c:v>Marketing</c:v>
                </c:pt>
                <c:pt idx="5">
                  <c:v>VIAGENS</c:v>
                </c:pt>
                <c:pt idx="6">
                  <c:v>Depreciação</c:v>
                </c:pt>
                <c:pt idx="7">
                  <c:v>Custos Ligados à Venda</c:v>
                </c:pt>
                <c:pt idx="8">
                  <c:v>Outros Custos</c:v>
                </c:pt>
                <c:pt idx="9">
                  <c:v>Bônus Indiretos</c:v>
                </c:pt>
                <c:pt idx="10">
                  <c:v>Custos Padrão Serv. Gerais</c:v>
                </c:pt>
                <c:pt idx="11">
                  <c:v>Desenv. de Sistemas</c:v>
                </c:pt>
                <c:pt idx="12">
                  <c:v>Oper. de Sist de Gestão</c:v>
                </c:pt>
              </c:strCache>
            </c:strRef>
          </c:cat>
          <c:val>
            <c:numRef>
              <c:f>(DCRC_Custos_Area!$AB$12:$AB$20,DCRC_Custos_Area!$AB$23:$AB$26)</c:f>
              <c:numCache>
                <c:formatCode>0.00%</c:formatCode>
                <c:ptCount val="13"/>
                <c:pt idx="0">
                  <c:v>0.30057400091101633</c:v>
                </c:pt>
                <c:pt idx="1">
                  <c:v>0.3047940367386211</c:v>
                </c:pt>
                <c:pt idx="2">
                  <c:v>0.18080117305368501</c:v>
                </c:pt>
                <c:pt idx="3">
                  <c:v>0.15846669805824343</c:v>
                </c:pt>
                <c:pt idx="4">
                  <c:v>0</c:v>
                </c:pt>
                <c:pt idx="5">
                  <c:v>0.18730877197759657</c:v>
                </c:pt>
                <c:pt idx="6">
                  <c:v>0.3633849385134359</c:v>
                </c:pt>
                <c:pt idx="7">
                  <c:v>0</c:v>
                </c:pt>
                <c:pt idx="8">
                  <c:v>0.51849754022452632</c:v>
                </c:pt>
                <c:pt idx="9">
                  <c:v>0.30600631774589709</c:v>
                </c:pt>
                <c:pt idx="10">
                  <c:v>0.2003161720038581</c:v>
                </c:pt>
                <c:pt idx="11">
                  <c:v>0.43508982205722824</c:v>
                </c:pt>
                <c:pt idx="12">
                  <c:v>0.16371181642262397</c:v>
                </c:pt>
              </c:numCache>
            </c:numRef>
          </c:val>
        </c:ser>
        <c:gapWidth val="10"/>
        <c:overlap val="100"/>
        <c:axId val="60580224"/>
        <c:axId val="60581760"/>
      </c:barChart>
      <c:catAx>
        <c:axId val="60580224"/>
        <c:scaling>
          <c:orientation val="maxMin"/>
        </c:scaling>
        <c:axPos val="l"/>
        <c:majorGridlines>
          <c:spPr>
            <a:ln cmpd="sng">
              <a:prstDash val="sysDot"/>
            </a:ln>
          </c:spPr>
        </c:majorGridlines>
        <c:numFmt formatCode="General" sourceLinked="1"/>
        <c:tickLblPos val="low"/>
        <c:spPr>
          <a:ln>
            <a:solidFill>
              <a:schemeClr val="accent2">
                <a:lumMod val="75000"/>
              </a:schemeClr>
            </a:solidFill>
          </a:ln>
        </c:spPr>
        <c:txPr>
          <a:bodyPr/>
          <a:lstStyle/>
          <a:p>
            <a:pPr>
              <a:defRPr sz="800" b="1">
                <a:solidFill>
                  <a:schemeClr val="accent1">
                    <a:lumMod val="75000"/>
                  </a:schemeClr>
                </a:solidFill>
              </a:defRPr>
            </a:pPr>
            <a:endParaRPr lang="pt-BR"/>
          </a:p>
        </c:txPr>
        <c:crossAx val="60581760"/>
        <c:crossesAt val="1"/>
        <c:auto val="1"/>
        <c:lblAlgn val="ctr"/>
        <c:lblOffset val="100"/>
      </c:catAx>
      <c:valAx>
        <c:axId val="60581760"/>
        <c:scaling>
          <c:orientation val="minMax"/>
          <c:max val="1.5"/>
          <c:min val="-1"/>
        </c:scaling>
        <c:axPos val="t"/>
        <c:numFmt formatCode="0.00%" sourceLinked="1"/>
        <c:minorTickMark val="out"/>
        <c:tickLblPos val="nextTo"/>
        <c:txPr>
          <a:bodyPr/>
          <a:lstStyle/>
          <a:p>
            <a:pPr>
              <a:defRPr sz="700" b="1" baseline="0">
                <a:solidFill>
                  <a:schemeClr val="accent1">
                    <a:lumMod val="75000"/>
                  </a:schemeClr>
                </a:solidFill>
              </a:defRPr>
            </a:pPr>
            <a:endParaRPr lang="pt-BR"/>
          </a:p>
        </c:txPr>
        <c:crossAx val="60580224"/>
        <c:crosses val="autoZero"/>
        <c:crossBetween val="between"/>
        <c:majorUnit val="0.5"/>
        <c:minorUnit val="0.25"/>
      </c:valAx>
    </c:plotArea>
    <c:plotVisOnly val="1"/>
    <c:dispBlanksAs val="gap"/>
  </c:chart>
  <c:spPr>
    <a:noFill/>
    <a:ln>
      <a:noFill/>
    </a:ln>
  </c:spPr>
  <c:printSettings>
    <c:headerFooter/>
    <c:pageMargins b="0.78740157499999996" l="0.511811024" r="0.511811024" t="0.78740157499999996" header="0.31496062000000596" footer="0.3149606200000059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6.7146529562982005E-2"/>
          <c:y val="4.0515653775322284E-2"/>
          <c:w val="0.83560288061115362"/>
          <c:h val="0.8588517527945666"/>
        </c:manualLayout>
      </c:layout>
      <c:barChart>
        <c:barDir val="bar"/>
        <c:grouping val="stacked"/>
        <c:ser>
          <c:idx val="0"/>
          <c:order val="0"/>
          <c:dLbls>
            <c:dLbl>
              <c:idx val="0"/>
              <c:layout>
                <c:manualLayout>
                  <c:x val="0.34670402024322861"/>
                  <c:y val="2.6312500411132896E-7"/>
                </c:manualLayout>
              </c:layout>
              <c:dLblPos val="ctr"/>
              <c:showVal val="1"/>
            </c:dLbl>
            <c:dLbl>
              <c:idx val="1"/>
              <c:layout>
                <c:manualLayout>
                  <c:x val="0.21497395788929458"/>
                  <c:y val="2.6312500411132896E-7"/>
                </c:manualLayout>
              </c:layout>
              <c:dLblPos val="ctr"/>
              <c:showVal val="1"/>
            </c:dLbl>
            <c:dLbl>
              <c:idx val="2"/>
              <c:layout>
                <c:manualLayout>
                  <c:x val="0.38632062074298579"/>
                  <c:y val="2.6312500411132896E-7"/>
                </c:manualLayout>
              </c:layout>
              <c:dLblPos val="ctr"/>
              <c:showVal val="1"/>
            </c:dLbl>
            <c:dLbl>
              <c:idx val="3"/>
              <c:layout>
                <c:manualLayout>
                  <c:x val="-7.0424044777522773E-2"/>
                  <c:y val="0"/>
                </c:manualLayout>
              </c:layout>
              <c:dLblPos val="ctr"/>
              <c:showVal val="1"/>
            </c:dLbl>
            <c:dLbl>
              <c:idx val="4"/>
              <c:layout>
                <c:manualLayout>
                  <c:x val="-7.3746356516032799E-2"/>
                  <c:y val="0"/>
                </c:manualLayout>
              </c:layout>
              <c:dLblPos val="ctr"/>
              <c:showVal val="1"/>
            </c:dLbl>
            <c:dLbl>
              <c:idx val="5"/>
              <c:layout>
                <c:manualLayout>
                  <c:x val="-9.0973708454052046E-2"/>
                  <c:y val="0"/>
                </c:manualLayout>
              </c:layout>
              <c:dLblPos val="ctr"/>
              <c:showVal val="1"/>
            </c:dLbl>
            <c:dLbl>
              <c:idx val="6"/>
              <c:layout>
                <c:manualLayout>
                  <c:x val="-9.933758380074019E-2"/>
                  <c:y val="0"/>
                </c:manualLayout>
              </c:layout>
              <c:dLblPos val="ctr"/>
              <c:showVal val="1"/>
            </c:dLbl>
            <c:dLbl>
              <c:idx val="7"/>
              <c:layout>
                <c:manualLayout>
                  <c:x val="-7.9409037391172402E-2"/>
                  <c:y val="0"/>
                </c:manualLayout>
              </c:layout>
              <c:dLblPos val="ctr"/>
              <c:showVal val="1"/>
            </c:dLbl>
            <c:dLbl>
              <c:idx val="8"/>
              <c:layout>
                <c:manualLayout>
                  <c:x val="0.10075990055718571"/>
                  <c:y val="2.6312500411132896E-7"/>
                </c:manualLayout>
              </c:layout>
              <c:dLblPos val="ctr"/>
              <c:showVal val="1"/>
            </c:dLbl>
            <c:dLbl>
              <c:idx val="9"/>
              <c:dLblPos val="inBase"/>
              <c:showVal val="1"/>
            </c:dLbl>
            <c:dLbl>
              <c:idx val="10"/>
              <c:layout>
                <c:manualLayout>
                  <c:x val="-5.0568610036749284E-2"/>
                  <c:y val="0"/>
                </c:manualLayout>
              </c:layout>
              <c:dLblPos val="ctr"/>
              <c:showVal val="1"/>
            </c:dLbl>
            <c:dLbl>
              <c:idx val="11"/>
              <c:layout>
                <c:manualLayout>
                  <c:x val="0.24276893576409714"/>
                  <c:y val="2.6312500411132896E-7"/>
                </c:manualLayout>
              </c:layout>
              <c:dLblPos val="ctr"/>
              <c:showVal val="1"/>
            </c:dLbl>
            <c:dLbl>
              <c:idx val="12"/>
              <c:layout>
                <c:manualLayout>
                  <c:x val="5.5401653993842184E-2"/>
                  <c:y val="0"/>
                </c:manualLayout>
              </c:layout>
              <c:dLblPos val="ctr"/>
              <c:showVal val="1"/>
            </c:dLbl>
            <c:numFmt formatCode="#,##0;[Red]\-#,##0" sourceLinked="0"/>
            <c:txPr>
              <a:bodyPr/>
              <a:lstStyle/>
              <a:p>
                <a:pPr>
                  <a:defRPr sz="800">
                    <a:solidFill>
                      <a:schemeClr val="accent1"/>
                    </a:solidFill>
                  </a:defRPr>
                </a:pPr>
                <a:endParaRPr lang="pt-BR"/>
              </a:p>
            </c:txPr>
            <c:showVal val="1"/>
          </c:dLbls>
          <c:val>
            <c:numRef>
              <c:f>(DCRC_Custos_Area!$X$12,DCRC_Custos_Area!$X$13,DCRC_Custos_Area!$X$14,DCRC_Custos_Area!$X$15,DCRC_Custos_Area!$X$16,DCRC_Custos_Area!$X$17,DCRC_Custos_Area!$X$18,DCRC_Custos_Area!$X$19,DCRC_Custos_Area!$X$20,DCRC_Custos_Area!$X$23,DCRC_Custos_Area!$X$24,DCRC_Custos_Area!$X$25,DCRC_Custos_Area!$X$26)</c:f>
              <c:numCache>
                <c:formatCode>#,##0;[Red]\-#,##0</c:formatCode>
                <c:ptCount val="13"/>
                <c:pt idx="0">
                  <c:v>259.99302531199999</c:v>
                </c:pt>
                <c:pt idx="1">
                  <c:v>-5.8246316179999997</c:v>
                </c:pt>
                <c:pt idx="2">
                  <c:v>1543.3378322829999</c:v>
                </c:pt>
                <c:pt idx="3">
                  <c:v>533.95486738399995</c:v>
                </c:pt>
                <c:pt idx="4">
                  <c:v>-58.507510000000003</c:v>
                </c:pt>
                <c:pt idx="5">
                  <c:v>74.070541956</c:v>
                </c:pt>
                <c:pt idx="6">
                  <c:v>-9.9631268889999998</c:v>
                </c:pt>
                <c:pt idx="7">
                  <c:v>-3.6379299999999999</c:v>
                </c:pt>
                <c:pt idx="8">
                  <c:v>3.9375861379999999</c:v>
                </c:pt>
                <c:pt idx="9">
                  <c:v>15.023396474</c:v>
                </c:pt>
                <c:pt idx="10">
                  <c:v>35.307480427000002</c:v>
                </c:pt>
                <c:pt idx="11">
                  <c:v>-516.08043174099998</c:v>
                </c:pt>
                <c:pt idx="12">
                  <c:v>30.349144077999998</c:v>
                </c:pt>
              </c:numCache>
            </c:numRef>
          </c:val>
        </c:ser>
        <c:gapWidth val="25"/>
        <c:overlap val="100"/>
        <c:axId val="60668160"/>
        <c:axId val="61545472"/>
      </c:barChart>
      <c:catAx>
        <c:axId val="60668160"/>
        <c:scaling>
          <c:orientation val="maxMin"/>
        </c:scaling>
        <c:delete val="1"/>
        <c:axPos val="l"/>
        <c:majorGridlines>
          <c:spPr>
            <a:ln cmpd="sng">
              <a:prstDash val="sysDot"/>
            </a:ln>
          </c:spPr>
        </c:majorGridlines>
        <c:tickLblPos val="nextTo"/>
        <c:crossAx val="61545472"/>
        <c:crossesAt val="0"/>
        <c:auto val="1"/>
        <c:lblAlgn val="ctr"/>
        <c:lblOffset val="100"/>
      </c:catAx>
      <c:valAx>
        <c:axId val="61545472"/>
        <c:scaling>
          <c:orientation val="minMax"/>
          <c:max val="800"/>
          <c:min val="-300"/>
        </c:scaling>
        <c:axPos val="t"/>
        <c:numFmt formatCode="#,##0" sourceLinked="0"/>
        <c:minorTickMark val="out"/>
        <c:tickLblPos val="nextTo"/>
        <c:txPr>
          <a:bodyPr/>
          <a:lstStyle/>
          <a:p>
            <a:pPr>
              <a:defRPr sz="700" b="1" baseline="0">
                <a:solidFill>
                  <a:schemeClr val="accent1">
                    <a:lumMod val="75000"/>
                  </a:schemeClr>
                </a:solidFill>
              </a:defRPr>
            </a:pPr>
            <a:endParaRPr lang="pt-BR"/>
          </a:p>
        </c:txPr>
        <c:crossAx val="60668160"/>
        <c:crosses val="autoZero"/>
        <c:crossBetween val="between"/>
        <c:majorUnit val="200"/>
        <c:minorUnit val="100"/>
      </c:valAx>
    </c:plotArea>
    <c:plotVisOnly val="1"/>
    <c:dispBlanksAs val="gap"/>
  </c:chart>
  <c:spPr>
    <a:noFill/>
    <a:ln>
      <a:noFill/>
    </a:ln>
    <a:scene3d>
      <a:camera prst="orthographicFront"/>
      <a:lightRig rig="threePt" dir="t"/>
    </a:scene3d>
    <a:sp3d>
      <a:bevelB/>
    </a:sp3d>
  </c:spPr>
  <c:printSettings>
    <c:headerFooter/>
    <c:pageMargins b="0.78740157499999996" l="0.511811024" r="0.511811024" t="0.78740157499999996" header="0.31496062000000596" footer="0.3149606200000059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3"/>
  <c:chart>
    <c:plotArea>
      <c:layout>
        <c:manualLayout>
          <c:layoutTarget val="inner"/>
          <c:xMode val="edge"/>
          <c:yMode val="edge"/>
          <c:x val="0.15059332825358637"/>
          <c:y val="0.18009321087071636"/>
          <c:w val="0.69743476280340988"/>
          <c:h val="0.71969347400435779"/>
        </c:manualLayout>
      </c:layout>
      <c:barChart>
        <c:barDir val="col"/>
        <c:grouping val="clustered"/>
        <c:varyColors val="1"/>
        <c:ser>
          <c:idx val="0"/>
          <c:order val="0"/>
          <c:dLbls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showLegendKey val="1"/>
            <c:showVal val="1"/>
          </c:dLbls>
          <c:cat>
            <c:strRef>
              <c:f>(DCRC_Custos_Area!$T$7,DCRC_Custos_Area!$U$7)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(DCRC_Custos_Area!$T$8,DCRC_Custos_Area!$U$8)</c:f>
              <c:numCache>
                <c:formatCode>_(* #,##0_);_(* \(#,##0\);_(* "-"??_);_(@_)</c:formatCode>
                <c:ptCount val="2"/>
                <c:pt idx="0">
                  <c:v>104</c:v>
                </c:pt>
                <c:pt idx="1">
                  <c:v>113</c:v>
                </c:pt>
              </c:numCache>
            </c:numRef>
          </c:val>
        </c:ser>
        <c:gapWidth val="30"/>
        <c:axId val="61796352"/>
        <c:axId val="61798272"/>
      </c:barChart>
      <c:catAx>
        <c:axId val="61796352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1000" baseline="0"/>
            </a:pPr>
            <a:endParaRPr lang="pt-BR"/>
          </a:p>
        </c:txPr>
        <c:crossAx val="61798272"/>
        <c:crosses val="autoZero"/>
        <c:auto val="1"/>
        <c:lblAlgn val="ctr"/>
        <c:lblOffset val="100"/>
      </c:catAx>
      <c:valAx>
        <c:axId val="61798272"/>
        <c:scaling>
          <c:orientation val="minMax"/>
        </c:scaling>
        <c:delete val="1"/>
        <c:axPos val="l"/>
        <c:numFmt formatCode="_(* #,##0_);_(* \(#,##0\);_(* &quot;-&quot;??_);_(@_)" sourceLinked="1"/>
        <c:tickLblPos val="nextTo"/>
        <c:crossAx val="61796352"/>
        <c:crosses val="autoZero"/>
        <c:crossBetween val="between"/>
      </c:valAx>
    </c:plotArea>
    <c:plotVisOnly val="1"/>
    <c:dispBlanksAs val="gap"/>
  </c:chart>
  <c:printSettings>
    <c:headerFooter/>
    <c:pageMargins b="0.78740157499999996" l="0.511811024" r="0.511811024" t="0.78740157499999996" header="0.31496062000000585" footer="0.3149606200000058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7.6388888888888895E-2"/>
          <c:y val="3.3950625534807398E-2"/>
          <c:w val="0.84722222222222221"/>
          <c:h val="0.85493823635128297"/>
        </c:manualLayout>
      </c:layout>
      <c:barChart>
        <c:barDir val="col"/>
        <c:grouping val="stacked"/>
        <c:ser>
          <c:idx val="0"/>
          <c:order val="0"/>
          <c:dLbls>
            <c:txPr>
              <a:bodyPr/>
              <a:lstStyle/>
              <a:p>
                <a:pPr>
                  <a:defRPr sz="800" baseline="0"/>
                </a:pPr>
                <a:endParaRPr lang="pt-BR"/>
              </a:p>
            </c:txPr>
            <c:showVal val="1"/>
          </c:dLbls>
          <c:cat>
            <c:strRef>
              <c:f>DCRC_Custos_Area!$T$7:$U$7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DCRC_Custos_Area!$T$11:$U$11</c:f>
              <c:numCache>
                <c:formatCode>#,##0;[Red]\-#,##0</c:formatCode>
                <c:ptCount val="2"/>
                <c:pt idx="0">
                  <c:v>11540.146437800999</c:v>
                </c:pt>
                <c:pt idx="1">
                  <c:v>13877.507092367001</c:v>
                </c:pt>
              </c:numCache>
            </c:numRef>
          </c:val>
        </c:ser>
        <c:ser>
          <c:idx val="1"/>
          <c:order val="1"/>
          <c:spPr>
            <a:solidFill>
              <a:srgbClr val="9BBB59">
                <a:lumMod val="75000"/>
                <a:alpha val="65000"/>
              </a:srgbClr>
            </a:solidFill>
          </c:spPr>
          <c:dLbls>
            <c:txPr>
              <a:bodyPr/>
              <a:lstStyle/>
              <a:p>
                <a:pPr>
                  <a:defRPr sz="800" b="1" i="0" baseline="0">
                    <a:solidFill>
                      <a:schemeClr val="tx1"/>
                    </a:solidFill>
                  </a:defRPr>
                </a:pPr>
                <a:endParaRPr lang="pt-BR"/>
              </a:p>
            </c:txPr>
            <c:showVal val="1"/>
          </c:dLbls>
          <c:cat>
            <c:strRef>
              <c:f>DCRC_Custos_Area!$T$7:$U$7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DCRC_Custos_Area!$T$22:$U$22</c:f>
              <c:numCache>
                <c:formatCode>#,##0;[Red]\-#,##0</c:formatCode>
                <c:ptCount val="2"/>
                <c:pt idx="0">
                  <c:v>-165.36706715500026</c:v>
                </c:pt>
                <c:pt idx="1">
                  <c:v>-600.76747791700018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0"/>
                  <c:y val="-3.3950625534807349E-2"/>
                </c:manualLayout>
              </c:layout>
              <c:dLblPos val="inBase"/>
              <c:showVal val="1"/>
            </c:dLbl>
            <c:txPr>
              <a:bodyPr/>
              <a:lstStyle/>
              <a:p>
                <a:pPr>
                  <a:defRPr sz="800" baseline="0"/>
                </a:pPr>
                <a:endParaRPr lang="pt-BR"/>
              </a:p>
            </c:txPr>
            <c:dLblPos val="inBase"/>
            <c:showVal val="1"/>
          </c:dLbls>
          <c:cat>
            <c:strRef>
              <c:f>DCRC_Custos_Area!$T$7:$U$7</c:f>
              <c:strCache>
                <c:ptCount val="2"/>
                <c:pt idx="0">
                  <c:v>Real</c:v>
                </c:pt>
                <c:pt idx="1">
                  <c:v>Orçado</c:v>
                </c:pt>
              </c:strCache>
            </c:strRef>
          </c:cat>
          <c:val>
            <c:numRef>
              <c:f>DCRC_Custos_Area!$T$9:$U$9</c:f>
              <c:numCache>
                <c:formatCode>#,##0;[Red]\-#,##0</c:formatCode>
                <c:ptCount val="2"/>
                <c:pt idx="0">
                  <c:v>11374.779370645998</c:v>
                </c:pt>
                <c:pt idx="1">
                  <c:v>13276.739614450002</c:v>
                </c:pt>
              </c:numCache>
            </c:numRef>
          </c:val>
        </c:ser>
        <c:gapWidth val="52"/>
        <c:overlap val="100"/>
        <c:axId val="61994112"/>
        <c:axId val="61995648"/>
      </c:barChart>
      <c:catAx>
        <c:axId val="61994112"/>
        <c:scaling>
          <c:orientation val="minMax"/>
        </c:scaling>
        <c:axPos val="b"/>
        <c:majorTickMark val="none"/>
        <c:tickLblPos val="nextTo"/>
        <c:crossAx val="61995648"/>
        <c:crosses val="autoZero"/>
        <c:auto val="1"/>
        <c:lblAlgn val="ctr"/>
        <c:lblOffset val="100"/>
      </c:catAx>
      <c:valAx>
        <c:axId val="61995648"/>
        <c:scaling>
          <c:orientation val="minMax"/>
        </c:scaling>
        <c:delete val="1"/>
        <c:axPos val="l"/>
        <c:numFmt formatCode="#,##0;[Red]\-#,##0" sourceLinked="1"/>
        <c:tickLblPos val="nextTo"/>
        <c:crossAx val="61994112"/>
        <c:crosses val="autoZero"/>
        <c:crossBetween val="between"/>
      </c:valAx>
    </c:plotArea>
    <c:plotVisOnly val="1"/>
    <c:dispBlanksAs val="gap"/>
  </c:chart>
  <c:printSettings>
    <c:headerFooter/>
    <c:pageMargins b="0.78740157499999996" l="0.511811024" r="0.511811024" t="0.78740157499999996" header="0.31496062000000208" footer="0.314960620000002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24126</xdr:colOff>
      <xdr:row>56</xdr:row>
      <xdr:rowOff>0</xdr:rowOff>
    </xdr:from>
    <xdr:to>
      <xdr:col>14</xdr:col>
      <xdr:colOff>41672</xdr:colOff>
      <xdr:row>80</xdr:row>
      <xdr:rowOff>0</xdr:rowOff>
    </xdr:to>
    <xdr:sp macro="" textlink="">
      <xdr:nvSpPr>
        <xdr:cNvPr id="10" name="Retângulo 9"/>
        <xdr:cNvSpPr/>
      </xdr:nvSpPr>
      <xdr:spPr>
        <a:xfrm>
          <a:off x="224151" y="9601200"/>
          <a:ext cx="6885071" cy="4114800"/>
        </a:xfrm>
        <a:prstGeom prst="rect">
          <a:avLst/>
        </a:prstGeom>
        <a:noFill/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76200</xdr:colOff>
      <xdr:row>31</xdr:row>
      <xdr:rowOff>9525</xdr:rowOff>
    </xdr:from>
    <xdr:to>
      <xdr:col>12</xdr:col>
      <xdr:colOff>104775</xdr:colOff>
      <xdr:row>52</xdr:row>
      <xdr:rowOff>85725</xdr:rowOff>
    </xdr:to>
    <xdr:graphicFrame macro="">
      <xdr:nvGraphicFramePr>
        <xdr:cNvPr id="11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170447</xdr:colOff>
      <xdr:row>31</xdr:row>
      <xdr:rowOff>9525</xdr:rowOff>
    </xdr:from>
    <xdr:to>
      <xdr:col>23</xdr:col>
      <xdr:colOff>421105</xdr:colOff>
      <xdr:row>52</xdr:row>
      <xdr:rowOff>66675</xdr:rowOff>
    </xdr:to>
    <xdr:graphicFrame macro="">
      <xdr:nvGraphicFramePr>
        <xdr:cNvPr id="11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0</xdr:row>
      <xdr:rowOff>66675</xdr:rowOff>
    </xdr:from>
    <xdr:to>
      <xdr:col>26</xdr:col>
      <xdr:colOff>0</xdr:colOff>
      <xdr:row>18</xdr:row>
      <xdr:rowOff>0</xdr:rowOff>
    </xdr:to>
    <xdr:graphicFrame macro="">
      <xdr:nvGraphicFramePr>
        <xdr:cNvPr id="115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28575</xdr:colOff>
      <xdr:row>31</xdr:row>
      <xdr:rowOff>0</xdr:rowOff>
    </xdr:from>
    <xdr:to>
      <xdr:col>6</xdr:col>
      <xdr:colOff>790575</xdr:colOff>
      <xdr:row>52</xdr:row>
      <xdr:rowOff>85725</xdr:rowOff>
    </xdr:to>
    <xdr:graphicFrame macro="">
      <xdr:nvGraphicFramePr>
        <xdr:cNvPr id="1157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193007</xdr:colOff>
      <xdr:row>57</xdr:row>
      <xdr:rowOff>10027</xdr:rowOff>
    </xdr:from>
    <xdr:to>
      <xdr:col>8</xdr:col>
      <xdr:colOff>352424</xdr:colOff>
      <xdr:row>80</xdr:row>
      <xdr:rowOff>0</xdr:rowOff>
    </xdr:to>
    <xdr:graphicFrame macro="">
      <xdr:nvGraphicFramePr>
        <xdr:cNvPr id="1158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8</xdr:col>
      <xdr:colOff>232610</xdr:colOff>
      <xdr:row>57</xdr:row>
      <xdr:rowOff>19050</xdr:rowOff>
    </xdr:from>
    <xdr:to>
      <xdr:col>13</xdr:col>
      <xdr:colOff>485775</xdr:colOff>
      <xdr:row>80</xdr:row>
      <xdr:rowOff>19050</xdr:rowOff>
    </xdr:to>
    <xdr:graphicFrame macro="">
      <xdr:nvGraphicFramePr>
        <xdr:cNvPr id="1159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19</xdr:col>
      <xdr:colOff>110290</xdr:colOff>
      <xdr:row>56</xdr:row>
      <xdr:rowOff>10027</xdr:rowOff>
    </xdr:from>
    <xdr:to>
      <xdr:col>23</xdr:col>
      <xdr:colOff>408071</xdr:colOff>
      <xdr:row>76</xdr:row>
      <xdr:rowOff>82718</xdr:rowOff>
    </xdr:to>
    <xdr:graphicFrame macro="">
      <xdr:nvGraphicFramePr>
        <xdr:cNvPr id="1160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104775</xdr:colOff>
      <xdr:row>56</xdr:row>
      <xdr:rowOff>0</xdr:rowOff>
    </xdr:from>
    <xdr:to>
      <xdr:col>19</xdr:col>
      <xdr:colOff>57150</xdr:colOff>
      <xdr:row>79</xdr:row>
      <xdr:rowOff>161924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OS_ORCAMENTO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RQUIVO_SAIDA_WMS"/>
      <sheetName val="CUSTOS_ORCAMENTOS"/>
    </sheetNames>
    <sheetDataSet>
      <sheetData sheetId="0">
        <row r="2">
          <cell r="A2" t="str">
            <v>Set 10</v>
          </cell>
          <cell r="C2">
            <v>2</v>
          </cell>
          <cell r="D2">
            <v>2</v>
          </cell>
          <cell r="E2">
            <v>36</v>
          </cell>
          <cell r="F2">
            <v>40</v>
          </cell>
          <cell r="G2">
            <v>20</v>
          </cell>
          <cell r="H2">
            <v>24</v>
          </cell>
          <cell r="I2">
            <v>17</v>
          </cell>
          <cell r="J2">
            <v>18</v>
          </cell>
          <cell r="K2">
            <v>26</v>
          </cell>
          <cell r="L2">
            <v>26</v>
          </cell>
          <cell r="M2">
            <v>2</v>
          </cell>
          <cell r="N2">
            <v>2</v>
          </cell>
          <cell r="O2">
            <v>1</v>
          </cell>
          <cell r="P2">
            <v>1</v>
          </cell>
          <cell r="Q2">
            <v>104</v>
          </cell>
          <cell r="R2">
            <v>113</v>
          </cell>
          <cell r="U2" t="str">
            <v>FINAL</v>
          </cell>
        </row>
        <row r="5">
          <cell r="C5">
            <v>-503.44389837300002</v>
          </cell>
          <cell r="D5">
            <v>-318.33142373800001</v>
          </cell>
          <cell r="E5">
            <v>-2046.8923834960001</v>
          </cell>
          <cell r="F5">
            <v>-2117.6292001840002</v>
          </cell>
          <cell r="G5">
            <v>-957.64261959800001</v>
          </cell>
          <cell r="H5">
            <v>-1151.4884084780001</v>
          </cell>
          <cell r="I5">
            <v>-858.45255757400002</v>
          </cell>
          <cell r="J5">
            <v>-808.50811181899996</v>
          </cell>
          <cell r="K5">
            <v>-1246.482803808</v>
          </cell>
          <cell r="L5">
            <v>-1446.0550911800001</v>
          </cell>
          <cell r="M5">
            <v>-121.975662501</v>
          </cell>
          <cell r="N5">
            <v>-125.545967836</v>
          </cell>
          <cell r="O5">
            <v>-68.181183340999993</v>
          </cell>
          <cell r="P5">
            <v>-95.505930767999999</v>
          </cell>
          <cell r="Q5">
            <v>-5803.0711086909996</v>
          </cell>
          <cell r="R5">
            <v>-6063.0641340029997</v>
          </cell>
          <cell r="S5">
            <v>-259.99302531199999</v>
          </cell>
          <cell r="T5">
            <v>-19306.630284397001</v>
          </cell>
        </row>
        <row r="6">
          <cell r="C6">
            <v>-37.289508796</v>
          </cell>
          <cell r="D6">
            <v>-42.603372378000003</v>
          </cell>
          <cell r="E6">
            <v>-889.89054167400002</v>
          </cell>
          <cell r="F6">
            <v>-886.86899947200004</v>
          </cell>
          <cell r="G6">
            <v>-359.77240331100001</v>
          </cell>
          <cell r="H6">
            <v>-367.26016952100002</v>
          </cell>
          <cell r="I6">
            <v>-271.90614934299998</v>
          </cell>
          <cell r="J6">
            <v>-275.54117033900002</v>
          </cell>
          <cell r="K6">
            <v>-682.79906733899998</v>
          </cell>
          <cell r="L6">
            <v>-663.42351900899996</v>
          </cell>
          <cell r="M6">
            <v>-35.371876933999999</v>
          </cell>
          <cell r="N6">
            <v>-35.462407599999999</v>
          </cell>
          <cell r="O6">
            <v>-35.744355839999997</v>
          </cell>
          <cell r="P6">
            <v>-35.789633299999998</v>
          </cell>
          <cell r="Q6">
            <v>-2312.773903237</v>
          </cell>
          <cell r="R6">
            <v>-2306.9492716189998</v>
          </cell>
          <cell r="S6">
            <v>5.8246316179999997</v>
          </cell>
          <cell r="T6">
            <v>-7587.9893451469998</v>
          </cell>
        </row>
        <row r="7">
          <cell r="C7">
            <v>-313.09402999999998</v>
          </cell>
          <cell r="D7">
            <v>-2569.0697466679999</v>
          </cell>
          <cell r="E7">
            <v>-1788.0477800000001</v>
          </cell>
          <cell r="F7">
            <v>-1053.9235494919999</v>
          </cell>
          <cell r="G7">
            <v>-10.88796</v>
          </cell>
          <cell r="H7">
            <v>-5.4106933320000001</v>
          </cell>
          <cell r="I7">
            <v>-35.927750000000003</v>
          </cell>
          <cell r="J7">
            <v>-4.1283341729999998</v>
          </cell>
          <cell r="K7">
            <v>-51.652299999999997</v>
          </cell>
          <cell r="L7">
            <v>-100.525188618</v>
          </cell>
          <cell r="M7">
            <v>9.7901399999999992</v>
          </cell>
          <cell r="N7">
            <v>-0.1</v>
          </cell>
          <cell r="O7">
            <v>0</v>
          </cell>
          <cell r="P7">
            <v>0</v>
          </cell>
          <cell r="Q7">
            <v>-2189.8196800000001</v>
          </cell>
          <cell r="R7">
            <v>-3733.157512283</v>
          </cell>
          <cell r="S7">
            <v>-1543.3378322829999</v>
          </cell>
          <cell r="T7">
            <v>-12111.755930642001</v>
          </cell>
        </row>
        <row r="8">
          <cell r="C8">
            <v>-343.379461531</v>
          </cell>
          <cell r="D8">
            <v>-453.97140360200001</v>
          </cell>
          <cell r="E8">
            <v>-353.02850896400003</v>
          </cell>
          <cell r="F8">
            <v>-489.275412937</v>
          </cell>
          <cell r="G8">
            <v>-63.746839792999999</v>
          </cell>
          <cell r="H8">
            <v>-153.58953010499999</v>
          </cell>
          <cell r="I8">
            <v>-41.839429240999998</v>
          </cell>
          <cell r="J8">
            <v>-71.272478211000006</v>
          </cell>
          <cell r="K8">
            <v>-51.582630307000002</v>
          </cell>
          <cell r="L8">
            <v>-194.53554583499999</v>
          </cell>
          <cell r="M8">
            <v>-1.042596037</v>
          </cell>
          <cell r="N8">
            <v>-14.710190901000001</v>
          </cell>
          <cell r="O8">
            <v>-1.7649999999999999E-2</v>
          </cell>
          <cell r="P8">
            <v>-11.237421665999999</v>
          </cell>
          <cell r="Q8">
            <v>-854.63711587299997</v>
          </cell>
          <cell r="R8">
            <v>-1388.591983257</v>
          </cell>
          <cell r="S8">
            <v>-533.95486738399995</v>
          </cell>
          <cell r="T8">
            <v>-5393.1654180039995</v>
          </cell>
        </row>
        <row r="9">
          <cell r="C9">
            <v>-1.92439</v>
          </cell>
          <cell r="D9">
            <v>0</v>
          </cell>
          <cell r="E9">
            <v>0</v>
          </cell>
          <cell r="F9">
            <v>0</v>
          </cell>
          <cell r="G9">
            <v>-0.90046000000000004</v>
          </cell>
          <cell r="H9">
            <v>0</v>
          </cell>
          <cell r="I9">
            <v>-0.26425999999999999</v>
          </cell>
          <cell r="J9">
            <v>0</v>
          </cell>
          <cell r="K9">
            <v>-55.418399999999998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-58.507510000000003</v>
          </cell>
          <cell r="R9">
            <v>0</v>
          </cell>
          <cell r="S9">
            <v>58.507510000000003</v>
          </cell>
          <cell r="T9">
            <v>0</v>
          </cell>
        </row>
        <row r="10">
          <cell r="C10">
            <v>-66.284809999999993</v>
          </cell>
          <cell r="D10">
            <v>-83.500000004</v>
          </cell>
          <cell r="E10">
            <v>-37.44567</v>
          </cell>
          <cell r="F10">
            <v>-86.61841862</v>
          </cell>
          <cell r="G10">
            <v>-1.7489999999999999E-2</v>
          </cell>
          <cell r="H10">
            <v>-1.8</v>
          </cell>
          <cell r="I10">
            <v>0</v>
          </cell>
          <cell r="J10">
            <v>-2.9215200000000001</v>
          </cell>
          <cell r="K10">
            <v>-4.0910799999999998</v>
          </cell>
          <cell r="L10">
            <v>-3.469653332</v>
          </cell>
          <cell r="M10">
            <v>0</v>
          </cell>
          <cell r="N10">
            <v>-1.8</v>
          </cell>
          <cell r="O10">
            <v>0</v>
          </cell>
          <cell r="P10">
            <v>-1.8</v>
          </cell>
          <cell r="Q10">
            <v>-107.83905</v>
          </cell>
          <cell r="R10">
            <v>-181.90959195600001</v>
          </cell>
          <cell r="S10">
            <v>-74.070541956</v>
          </cell>
          <cell r="T10">
            <v>-575.72877586799996</v>
          </cell>
        </row>
        <row r="11">
          <cell r="C11">
            <v>-86.471090000000004</v>
          </cell>
          <cell r="D11">
            <v>-58.979297668000001</v>
          </cell>
          <cell r="E11">
            <v>-22.401309999999999</v>
          </cell>
          <cell r="F11">
            <v>-32.828458564000002</v>
          </cell>
          <cell r="G11">
            <v>-11.224360000000001</v>
          </cell>
          <cell r="H11">
            <v>-7.3559933480000002</v>
          </cell>
          <cell r="I11">
            <v>-7.6549500000000004</v>
          </cell>
          <cell r="J11">
            <v>-11.104378222999999</v>
          </cell>
          <cell r="K11">
            <v>-15.39113</v>
          </cell>
          <cell r="L11">
            <v>-22.917791976</v>
          </cell>
          <cell r="M11">
            <v>-0.14498</v>
          </cell>
          <cell r="N11">
            <v>-0.13252</v>
          </cell>
          <cell r="O11">
            <v>0</v>
          </cell>
          <cell r="P11">
            <v>-6.2533320000000003E-3</v>
          </cell>
          <cell r="Q11">
            <v>-143.28782000000001</v>
          </cell>
          <cell r="R11">
            <v>-133.32469311099999</v>
          </cell>
          <cell r="S11">
            <v>9.9631268889999998</v>
          </cell>
          <cell r="T11">
            <v>-394.31414132399999</v>
          </cell>
        </row>
        <row r="12">
          <cell r="C12">
            <v>-0.38793</v>
          </cell>
          <cell r="D12">
            <v>0</v>
          </cell>
          <cell r="E12">
            <v>0</v>
          </cell>
          <cell r="F12">
            <v>0</v>
          </cell>
          <cell r="G12">
            <v>-3.25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-3.6379299999999999</v>
          </cell>
          <cell r="R12">
            <v>0</v>
          </cell>
          <cell r="S12">
            <v>3.6379299999999999</v>
          </cell>
          <cell r="T12">
            <v>0</v>
          </cell>
        </row>
        <row r="13">
          <cell r="C13">
            <v>-23.651800000000001</v>
          </cell>
          <cell r="D13">
            <v>-32.301859917999998</v>
          </cell>
          <cell r="E13">
            <v>-16.381060000000002</v>
          </cell>
          <cell r="F13">
            <v>-2.4684520729999999</v>
          </cell>
          <cell r="G13">
            <v>-5.4132699999999998</v>
          </cell>
          <cell r="H13">
            <v>3.6276068989999999</v>
          </cell>
          <cell r="I13">
            <v>-7.9744200000000003</v>
          </cell>
          <cell r="J13">
            <v>-13.795020028</v>
          </cell>
          <cell r="K13">
            <v>-12.54208</v>
          </cell>
          <cell r="L13">
            <v>-25.679648557</v>
          </cell>
          <cell r="M13">
            <v>-0.59616999999999998</v>
          </cell>
          <cell r="N13">
            <v>-0.16070585100000001</v>
          </cell>
          <cell r="O13">
            <v>-1.3520000000000001E-2</v>
          </cell>
          <cell r="P13">
            <v>0.26817339000000001</v>
          </cell>
          <cell r="Q13">
            <v>-66.572320000000005</v>
          </cell>
          <cell r="R13">
            <v>-70.509906138000005</v>
          </cell>
          <cell r="S13">
            <v>-3.9375861379999999</v>
          </cell>
          <cell r="T13">
            <v>-128.394668895</v>
          </cell>
        </row>
        <row r="15">
          <cell r="C15">
            <v>41.801085464000003</v>
          </cell>
          <cell r="D15">
            <v>42.603377164000001</v>
          </cell>
          <cell r="E15">
            <v>891.18041500899994</v>
          </cell>
          <cell r="F15">
            <v>886.86899559599999</v>
          </cell>
          <cell r="G15">
            <v>365.91012330900003</v>
          </cell>
          <cell r="H15">
            <v>367.26016241999997</v>
          </cell>
          <cell r="I15">
            <v>278.70586601100001</v>
          </cell>
          <cell r="J15">
            <v>275.54118199200002</v>
          </cell>
          <cell r="K15">
            <v>673.25896067099995</v>
          </cell>
          <cell r="L15">
            <v>663.42352333999997</v>
          </cell>
          <cell r="M15">
            <v>35.371876933999999</v>
          </cell>
          <cell r="N15">
            <v>35.462411332000002</v>
          </cell>
          <cell r="O15">
            <v>35.744355839999997</v>
          </cell>
          <cell r="P15">
            <v>35.789634919999997</v>
          </cell>
          <cell r="Q15">
            <v>2321.9726832380002</v>
          </cell>
          <cell r="R15">
            <v>2306.9492867640001</v>
          </cell>
          <cell r="S15">
            <v>-15.023396474</v>
          </cell>
          <cell r="T15">
            <v>7587.9893602920001</v>
          </cell>
        </row>
        <row r="16">
          <cell r="C16">
            <v>-13.524405087</v>
          </cell>
          <cell r="D16">
            <v>-11.153169112</v>
          </cell>
          <cell r="E16">
            <v>-13.959615426999999</v>
          </cell>
          <cell r="F16">
            <v>-26.911758518999999</v>
          </cell>
          <cell r="G16">
            <v>-8.5729041339999998</v>
          </cell>
          <cell r="H16">
            <v>-14.183386253</v>
          </cell>
          <cell r="I16">
            <v>-6.6704932929999998</v>
          </cell>
          <cell r="J16">
            <v>-13.163305701000001</v>
          </cell>
          <cell r="K16">
            <v>-11.04193557</v>
          </cell>
          <cell r="L16">
            <v>-22.308726974999999</v>
          </cell>
          <cell r="M16">
            <v>-1.1252940680000001</v>
          </cell>
          <cell r="N16">
            <v>-2.2493563719999998</v>
          </cell>
          <cell r="O16">
            <v>-0.12683826600000001</v>
          </cell>
          <cell r="P16">
            <v>-0.35926333999999999</v>
          </cell>
          <cell r="Q16">
            <v>-55.021485845000001</v>
          </cell>
          <cell r="R16">
            <v>-90.328966272000002</v>
          </cell>
          <cell r="S16">
            <v>-35.307480427000002</v>
          </cell>
          <cell r="T16">
            <v>-274.67320933000002</v>
          </cell>
        </row>
        <row r="17">
          <cell r="C17">
            <v>-418.01097309300002</v>
          </cell>
          <cell r="D17">
            <v>-666.63832771700004</v>
          </cell>
          <cell r="E17">
            <v>-702.19756221600005</v>
          </cell>
          <cell r="F17">
            <v>-419.32300691400002</v>
          </cell>
          <cell r="G17">
            <v>-129.04918693299999</v>
          </cell>
          <cell r="H17">
            <v>-140.73036432500001</v>
          </cell>
          <cell r="I17">
            <v>-672.57107167599997</v>
          </cell>
          <cell r="J17">
            <v>-100.17616129300001</v>
          </cell>
          <cell r="K17">
            <v>-122.128179293</v>
          </cell>
          <cell r="L17">
            <v>-232.307238732</v>
          </cell>
          <cell r="M17">
            <v>-31.298557510999998</v>
          </cell>
          <cell r="N17">
            <v>0</v>
          </cell>
          <cell r="O17">
            <v>0</v>
          </cell>
          <cell r="P17">
            <v>0</v>
          </cell>
          <cell r="Q17">
            <v>-2075.255530722</v>
          </cell>
          <cell r="R17">
            <v>-1559.175098981</v>
          </cell>
          <cell r="S17">
            <v>516.08043174099998</v>
          </cell>
          <cell r="T17">
            <v>-4769.7174824949998</v>
          </cell>
        </row>
        <row r="18">
          <cell r="C18">
            <v>0</v>
          </cell>
          <cell r="D18">
            <v>-1.6275959999999999E-2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-3.9120953E-2</v>
          </cell>
          <cell r="J18">
            <v>-2.9496800000000001E-3</v>
          </cell>
          <cell r="K18">
            <v>-26.289478562999999</v>
          </cell>
          <cell r="L18">
            <v>-56.658517953999997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-26.328599516000001</v>
          </cell>
          <cell r="R18">
            <v>-56.677743593999999</v>
          </cell>
          <cell r="S18">
            <v>-30.349144077999998</v>
          </cell>
          <cell r="T18">
            <v>-160.82284157199999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C1:AE103"/>
  <sheetViews>
    <sheetView showGridLines="0" tabSelected="1" topLeftCell="C1" workbookViewId="0">
      <selection activeCell="N2" sqref="N2:O3"/>
    </sheetView>
  </sheetViews>
  <sheetFormatPr defaultColWidth="0" defaultRowHeight="12.75" zeroHeight="1"/>
  <cols>
    <col min="1" max="2" width="9.140625" style="2" hidden="1" customWidth="1"/>
    <col min="3" max="3" width="3" style="133" customWidth="1"/>
    <col min="4" max="4" width="25.85546875" style="2" customWidth="1"/>
    <col min="5" max="8" width="7.7109375" style="2" customWidth="1"/>
    <col min="9" max="9" width="7.7109375" style="3" customWidth="1"/>
    <col min="10" max="12" width="7.7109375" style="2" customWidth="1"/>
    <col min="13" max="13" width="7.7109375" style="3" customWidth="1"/>
    <col min="14" max="14" width="7.7109375" style="2" customWidth="1"/>
    <col min="15" max="15" width="6.7109375" style="3" customWidth="1"/>
    <col min="16" max="16" width="6.7109375" style="2" customWidth="1"/>
    <col min="17" max="17" width="6.7109375" style="3" customWidth="1"/>
    <col min="18" max="18" width="6.7109375" style="2" customWidth="1"/>
    <col min="19" max="19" width="1.28515625" style="2" customWidth="1"/>
    <col min="20" max="21" width="6.7109375" style="2" customWidth="1"/>
    <col min="22" max="22" width="1.42578125" style="2" customWidth="1"/>
    <col min="23" max="23" width="6.42578125" style="2" customWidth="1"/>
    <col min="24" max="24" width="6.7109375" style="2" customWidth="1"/>
    <col min="25" max="26" width="0.28515625" style="2" customWidth="1"/>
    <col min="27" max="27" width="0.140625" style="2" customWidth="1"/>
    <col min="28" max="28" width="0.140625" style="142" customWidth="1"/>
    <col min="29" max="29" width="0.5703125" style="145" hidden="1" customWidth="1"/>
    <col min="30" max="31" width="0" style="2" hidden="1" customWidth="1"/>
    <col min="32" max="16384" width="9.140625" style="2" hidden="1"/>
  </cols>
  <sheetData>
    <row r="1" spans="3:30" ht="2.25" customHeight="1">
      <c r="C1" s="117"/>
      <c r="D1" s="1"/>
      <c r="E1" s="1"/>
      <c r="F1" s="1"/>
      <c r="G1" s="1"/>
      <c r="H1" s="1"/>
      <c r="I1" s="5"/>
      <c r="J1" s="1"/>
      <c r="K1" s="1"/>
      <c r="L1" s="1"/>
      <c r="M1" s="5"/>
      <c r="N1" s="1"/>
      <c r="O1" s="5"/>
      <c r="P1" s="1"/>
      <c r="Q1" s="5"/>
      <c r="R1" s="1"/>
      <c r="S1" s="1"/>
      <c r="T1" s="1"/>
      <c r="U1" s="1"/>
      <c r="V1" s="1"/>
      <c r="W1" s="1"/>
      <c r="X1" s="1"/>
      <c r="Y1" s="1"/>
      <c r="Z1" s="1"/>
      <c r="AB1" s="138"/>
      <c r="AD1" s="1"/>
    </row>
    <row r="2" spans="3:30" s="6" customFormat="1" ht="20.25" customHeight="1">
      <c r="C2" s="118"/>
      <c r="D2" s="160" t="s">
        <v>50</v>
      </c>
      <c r="E2" s="160"/>
      <c r="F2" s="160"/>
      <c r="G2" s="160"/>
      <c r="H2" s="160"/>
      <c r="I2" s="160"/>
      <c r="J2" s="160"/>
      <c r="K2" s="160"/>
      <c r="L2" s="160"/>
      <c r="M2" s="160"/>
      <c r="N2" s="152" t="str">
        <f>[1]ARQUIVO_SAIDA_WMS!$A$2</f>
        <v>Set 10</v>
      </c>
      <c r="O2" s="152"/>
      <c r="P2" s="152" t="s">
        <v>51</v>
      </c>
      <c r="Q2" s="151" t="str">
        <f>[1]ARQUIVO_SAIDA_WMS!$U$2</f>
        <v>FINAL</v>
      </c>
      <c r="R2" s="151"/>
      <c r="S2" s="151"/>
      <c r="T2" s="151"/>
      <c r="U2" s="151"/>
      <c r="V2" s="151"/>
      <c r="W2" s="151"/>
      <c r="X2" s="151"/>
      <c r="Y2" s="74"/>
      <c r="Z2" s="74"/>
      <c r="AB2" s="139"/>
      <c r="AC2" s="146"/>
      <c r="AD2" s="8"/>
    </row>
    <row r="3" spans="3:30" s="6" customFormat="1" ht="14.25" customHeight="1">
      <c r="C3" s="118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52"/>
      <c r="O3" s="152"/>
      <c r="P3" s="152"/>
      <c r="Q3" s="151"/>
      <c r="R3" s="151"/>
      <c r="S3" s="151"/>
      <c r="T3" s="151"/>
      <c r="U3" s="151"/>
      <c r="V3" s="151"/>
      <c r="W3" s="151"/>
      <c r="X3" s="151"/>
      <c r="Y3" s="74"/>
      <c r="Z3" s="74"/>
      <c r="AB3" s="139"/>
      <c r="AC3" s="146"/>
      <c r="AD3" s="8"/>
    </row>
    <row r="4" spans="3:30" ht="12.75" customHeight="1">
      <c r="C4" s="119"/>
      <c r="D4" s="7"/>
      <c r="E4" s="7"/>
      <c r="F4" s="7"/>
      <c r="G4" s="9"/>
      <c r="H4" s="9"/>
      <c r="I4" s="10"/>
      <c r="J4" s="9"/>
      <c r="K4" s="9"/>
      <c r="L4" s="9"/>
      <c r="M4" s="9"/>
      <c r="N4" s="9"/>
      <c r="O4" s="11"/>
      <c r="P4" s="12"/>
      <c r="Q4" s="11"/>
      <c r="R4" s="4"/>
      <c r="S4" s="7"/>
      <c r="T4" s="7"/>
      <c r="U4" s="7"/>
      <c r="V4" s="7"/>
      <c r="W4" s="7"/>
      <c r="X4" s="7"/>
      <c r="Y4" s="75"/>
      <c r="Z4" s="76"/>
      <c r="AB4" s="140"/>
      <c r="AC4" s="147"/>
      <c r="AD4" s="7"/>
    </row>
    <row r="5" spans="3:30" s="13" customFormat="1" ht="26.25" customHeight="1">
      <c r="C5" s="120"/>
      <c r="D5" s="14"/>
      <c r="E5" s="159" t="s">
        <v>40</v>
      </c>
      <c r="F5" s="161"/>
      <c r="G5" s="155" t="s">
        <v>37</v>
      </c>
      <c r="H5" s="156"/>
      <c r="I5" s="155" t="s">
        <v>38</v>
      </c>
      <c r="J5" s="156"/>
      <c r="K5" s="155" t="s">
        <v>34</v>
      </c>
      <c r="L5" s="156"/>
      <c r="M5" s="155" t="s">
        <v>35</v>
      </c>
      <c r="N5" s="156"/>
      <c r="O5" s="155" t="s">
        <v>36</v>
      </c>
      <c r="P5" s="156"/>
      <c r="Q5" s="157" t="s">
        <v>41</v>
      </c>
      <c r="R5" s="158"/>
      <c r="S5" s="109"/>
      <c r="T5" s="159" t="s">
        <v>39</v>
      </c>
      <c r="U5" s="158"/>
      <c r="V5" s="110"/>
      <c r="W5" s="158" t="s">
        <v>1</v>
      </c>
      <c r="X5" s="158"/>
      <c r="Y5" s="77"/>
      <c r="Z5" s="77"/>
      <c r="AB5" s="141"/>
      <c r="AC5" s="144"/>
      <c r="AD5" s="15"/>
    </row>
    <row r="6" spans="3:30" s="13" customFormat="1" ht="6" customHeight="1" thickBot="1">
      <c r="C6" s="121"/>
      <c r="E6" s="16" t="s">
        <v>2</v>
      </c>
      <c r="F6" s="16" t="s">
        <v>3</v>
      </c>
      <c r="G6" s="16" t="s">
        <v>3</v>
      </c>
      <c r="H6" s="16" t="s">
        <v>3</v>
      </c>
      <c r="I6" s="16" t="s">
        <v>0</v>
      </c>
      <c r="J6" s="16" t="s">
        <v>0</v>
      </c>
      <c r="K6" s="16" t="s">
        <v>4</v>
      </c>
      <c r="L6" s="16" t="s">
        <v>4</v>
      </c>
      <c r="M6" s="16" t="s">
        <v>5</v>
      </c>
      <c r="N6" s="16" t="s">
        <v>5</v>
      </c>
      <c r="O6" s="17" t="s">
        <v>6</v>
      </c>
      <c r="P6" s="17" t="s">
        <v>6</v>
      </c>
      <c r="Q6" s="17" t="s">
        <v>7</v>
      </c>
      <c r="R6" s="17" t="s">
        <v>7</v>
      </c>
      <c r="S6" s="18"/>
      <c r="T6" s="19"/>
      <c r="U6" s="19"/>
      <c r="V6" s="19"/>
      <c r="W6" s="19"/>
      <c r="X6" s="19"/>
      <c r="Y6" s="77"/>
      <c r="Z6" s="77"/>
      <c r="AB6" s="141"/>
      <c r="AC6" s="144"/>
      <c r="AD6" s="15"/>
    </row>
    <row r="7" spans="3:30" s="13" customFormat="1" thickTop="1" thickBot="1">
      <c r="C7" s="122"/>
      <c r="D7" s="20"/>
      <c r="E7" s="21" t="s">
        <v>8</v>
      </c>
      <c r="F7" s="22" t="s">
        <v>9</v>
      </c>
      <c r="G7" s="22" t="s">
        <v>8</v>
      </c>
      <c r="H7" s="22" t="s">
        <v>9</v>
      </c>
      <c r="I7" s="22" t="s">
        <v>8</v>
      </c>
      <c r="J7" s="22" t="s">
        <v>9</v>
      </c>
      <c r="K7" s="22" t="s">
        <v>8</v>
      </c>
      <c r="L7" s="22" t="s">
        <v>9</v>
      </c>
      <c r="M7" s="22" t="s">
        <v>8</v>
      </c>
      <c r="N7" s="22" t="s">
        <v>9</v>
      </c>
      <c r="O7" s="22" t="s">
        <v>8</v>
      </c>
      <c r="P7" s="22" t="s">
        <v>9</v>
      </c>
      <c r="Q7" s="22" t="s">
        <v>8</v>
      </c>
      <c r="R7" s="22" t="s">
        <v>9</v>
      </c>
      <c r="S7" s="114"/>
      <c r="T7" s="23" t="s">
        <v>8</v>
      </c>
      <c r="U7" s="24" t="s">
        <v>9</v>
      </c>
      <c r="V7" s="25"/>
      <c r="W7" s="116"/>
      <c r="X7" s="25"/>
      <c r="Y7" s="78"/>
      <c r="Z7" s="79"/>
      <c r="AB7" s="141"/>
      <c r="AC7" s="144"/>
      <c r="AD7" s="15"/>
    </row>
    <row r="8" spans="3:30" s="13" customFormat="1" ht="13.5" thickTop="1" thickBot="1">
      <c r="C8" s="123"/>
      <c r="D8" s="108" t="s">
        <v>10</v>
      </c>
      <c r="E8" s="88">
        <f>[1]ARQUIVO_SAIDA_WMS!$C$2</f>
        <v>2</v>
      </c>
      <c r="F8" s="88">
        <f>[1]ARQUIVO_SAIDA_WMS!$D$2</f>
        <v>2</v>
      </c>
      <c r="G8" s="88">
        <f>[1]ARQUIVO_SAIDA_WMS!$E$2</f>
        <v>36</v>
      </c>
      <c r="H8" s="88">
        <f>[1]ARQUIVO_SAIDA_WMS!$F$2</f>
        <v>40</v>
      </c>
      <c r="I8" s="88">
        <f>[1]ARQUIVO_SAIDA_WMS!$G$2</f>
        <v>20</v>
      </c>
      <c r="J8" s="88">
        <f>[1]ARQUIVO_SAIDA_WMS!$H$2</f>
        <v>24</v>
      </c>
      <c r="K8" s="88">
        <f>[1]ARQUIVO_SAIDA_WMS!$I$2</f>
        <v>17</v>
      </c>
      <c r="L8" s="88">
        <f>[1]ARQUIVO_SAIDA_WMS!$J$2</f>
        <v>18</v>
      </c>
      <c r="M8" s="88">
        <f>[1]ARQUIVO_SAIDA_WMS!$K$2</f>
        <v>26</v>
      </c>
      <c r="N8" s="88">
        <f>[1]ARQUIVO_SAIDA_WMS!$L$2</f>
        <v>26</v>
      </c>
      <c r="O8" s="88">
        <f>[1]ARQUIVO_SAIDA_WMS!$M$2</f>
        <v>2</v>
      </c>
      <c r="P8" s="88">
        <f>[1]ARQUIVO_SAIDA_WMS!$N$2</f>
        <v>2</v>
      </c>
      <c r="Q8" s="88">
        <f>[1]ARQUIVO_SAIDA_WMS!$O$2</f>
        <v>1</v>
      </c>
      <c r="R8" s="112">
        <f>[1]ARQUIVO_SAIDA_WMS!$P$2</f>
        <v>1</v>
      </c>
      <c r="S8" s="115"/>
      <c r="T8" s="113">
        <f>[1]ARQUIVO_SAIDA_WMS!$Q$2</f>
        <v>104</v>
      </c>
      <c r="U8" s="88">
        <f>[1]ARQUIVO_SAIDA_WMS!$R$2</f>
        <v>113</v>
      </c>
      <c r="V8" s="104"/>
      <c r="W8" s="148" t="str">
        <f>IF(T8&gt;=U8,"p","q")</f>
        <v>q</v>
      </c>
      <c r="X8" s="94">
        <f>+U8-T8</f>
        <v>9</v>
      </c>
      <c r="Y8" s="78"/>
      <c r="Z8" s="79"/>
      <c r="AB8" s="141"/>
      <c r="AC8" s="144"/>
      <c r="AD8" s="15"/>
    </row>
    <row r="9" spans="3:30" s="13" customFormat="1" ht="18" customHeight="1" thickTop="1" thickBot="1">
      <c r="C9" s="124"/>
      <c r="D9" s="107" t="s">
        <v>11</v>
      </c>
      <c r="E9" s="95">
        <f>SUM(E11,E22)</f>
        <v>1765.6612114160002</v>
      </c>
      <c r="F9" s="95">
        <f t="shared" ref="F9:R9" si="0">SUM(F11,F22)</f>
        <v>4193.9614996010005</v>
      </c>
      <c r="G9" s="95">
        <f t="shared" si="0"/>
        <v>4979.0640167680003</v>
      </c>
      <c r="H9" s="95">
        <f t="shared" si="0"/>
        <v>4228.9782611789997</v>
      </c>
      <c r="I9" s="95">
        <f t="shared" si="0"/>
        <v>1184.5673704599999</v>
      </c>
      <c r="J9" s="95">
        <f t="shared" si="0"/>
        <v>1470.9307760430002</v>
      </c>
      <c r="K9" s="95">
        <f t="shared" si="0"/>
        <v>1624.5943360690003</v>
      </c>
      <c r="L9" s="95">
        <f t="shared" si="0"/>
        <v>1025.072247475</v>
      </c>
      <c r="M9" s="95">
        <f t="shared" si="0"/>
        <v>1606.1601242090003</v>
      </c>
      <c r="N9" s="95">
        <f t="shared" si="0"/>
        <v>2104.4573988279994</v>
      </c>
      <c r="O9" s="95">
        <f t="shared" si="0"/>
        <v>146.393120117</v>
      </c>
      <c r="P9" s="95">
        <f t="shared" si="0"/>
        <v>144.698737228</v>
      </c>
      <c r="Q9" s="95">
        <f t="shared" si="0"/>
        <v>68.339191607000004</v>
      </c>
      <c r="R9" s="95">
        <f t="shared" si="0"/>
        <v>108.64069409600002</v>
      </c>
      <c r="S9" s="105"/>
      <c r="T9" s="89">
        <f>SUM(T11,T22)</f>
        <v>11374.779370645998</v>
      </c>
      <c r="U9" s="89">
        <f>SUM(U11,U22)</f>
        <v>13276.739614450002</v>
      </c>
      <c r="V9" s="106"/>
      <c r="W9" s="148" t="str">
        <f>IF(T9&gt;=U9,"p","q")</f>
        <v>q</v>
      </c>
      <c r="X9" s="95">
        <f>SUM(X11,X22)</f>
        <v>1641.9672184920005</v>
      </c>
      <c r="Y9" s="80">
        <f>+U9/T9-1</f>
        <v>0.16720853933327651</v>
      </c>
      <c r="Z9" s="81"/>
      <c r="AB9" s="141"/>
      <c r="AC9" s="144"/>
      <c r="AD9" s="15"/>
    </row>
    <row r="10" spans="3:30" s="13" customFormat="1" ht="6" customHeight="1" thickTop="1" thickBot="1">
      <c r="C10" s="125"/>
      <c r="D10" s="28"/>
      <c r="E10" s="29" t="s">
        <v>12</v>
      </c>
      <c r="F10" s="29" t="s">
        <v>12</v>
      </c>
      <c r="G10" s="29" t="s">
        <v>12</v>
      </c>
      <c r="H10" s="29" t="s">
        <v>12</v>
      </c>
      <c r="I10" s="29" t="s">
        <v>13</v>
      </c>
      <c r="J10" s="29" t="s">
        <v>13</v>
      </c>
      <c r="K10" s="29" t="s">
        <v>14</v>
      </c>
      <c r="L10" s="29" t="s">
        <v>14</v>
      </c>
      <c r="M10" s="30"/>
      <c r="N10" s="30"/>
      <c r="O10" s="29" t="s">
        <v>15</v>
      </c>
      <c r="P10" s="29" t="s">
        <v>15</v>
      </c>
      <c r="Q10" s="29" t="s">
        <v>16</v>
      </c>
      <c r="R10" s="29" t="s">
        <v>16</v>
      </c>
      <c r="S10" s="26"/>
      <c r="T10" s="90"/>
      <c r="U10" s="90"/>
      <c r="V10" s="27"/>
      <c r="W10" s="150"/>
      <c r="X10" s="96"/>
      <c r="Y10" s="82"/>
      <c r="Z10" s="82"/>
      <c r="AB10" s="141"/>
      <c r="AC10" s="144"/>
      <c r="AD10" s="15"/>
    </row>
    <row r="11" spans="3:30" s="13" customFormat="1" ht="13.5" thickTop="1" thickBot="1">
      <c r="C11" s="126"/>
      <c r="D11" s="99" t="s">
        <v>17</v>
      </c>
      <c r="E11" s="100">
        <f>SUM(E12:E20)</f>
        <v>1375.9269187000002</v>
      </c>
      <c r="F11" s="100">
        <f t="shared" ref="F11:R11" si="1">SUM(F12:F20)</f>
        <v>3558.7571039760001</v>
      </c>
      <c r="G11" s="100">
        <f t="shared" si="1"/>
        <v>5154.0872541340004</v>
      </c>
      <c r="H11" s="100">
        <f t="shared" si="1"/>
        <v>4669.6124913419999</v>
      </c>
      <c r="I11" s="100">
        <f t="shared" si="1"/>
        <v>1412.855402702</v>
      </c>
      <c r="J11" s="100">
        <f t="shared" si="1"/>
        <v>1683.2771878850001</v>
      </c>
      <c r="K11" s="100">
        <f t="shared" si="1"/>
        <v>1224.0195161580002</v>
      </c>
      <c r="L11" s="100">
        <f t="shared" si="1"/>
        <v>1187.271012793</v>
      </c>
      <c r="M11" s="100">
        <f t="shared" si="1"/>
        <v>2119.9594914540003</v>
      </c>
      <c r="N11" s="100">
        <f t="shared" si="1"/>
        <v>2456.6064385069994</v>
      </c>
      <c r="O11" s="100">
        <f t="shared" si="1"/>
        <v>149.34114547199999</v>
      </c>
      <c r="P11" s="100">
        <f t="shared" si="1"/>
        <v>177.91179218799999</v>
      </c>
      <c r="Q11" s="100">
        <f t="shared" si="1"/>
        <v>103.95670918099999</v>
      </c>
      <c r="R11" s="100">
        <f t="shared" si="1"/>
        <v>144.07106567600002</v>
      </c>
      <c r="S11" s="102"/>
      <c r="T11" s="91">
        <f>SUM(T12:T20)</f>
        <v>11540.146437800999</v>
      </c>
      <c r="U11" s="91">
        <f>SUM(U12:U20)</f>
        <v>13877.507092367001</v>
      </c>
      <c r="V11" s="101"/>
      <c r="W11" s="148" t="str">
        <f t="shared" ref="W11:W26" si="2">IF(T11&gt;=U11,"p","q")</f>
        <v>q</v>
      </c>
      <c r="X11" s="97">
        <f>SUM(X13:X20)</f>
        <v>2077.3676292540003</v>
      </c>
      <c r="Y11" s="82"/>
      <c r="Z11" s="82"/>
      <c r="AB11" s="141"/>
      <c r="AC11" s="144"/>
      <c r="AD11" s="15"/>
    </row>
    <row r="12" spans="3:30" s="31" customFormat="1" ht="13.5" thickTop="1" thickBot="1">
      <c r="C12" s="127"/>
      <c r="D12" s="87" t="s">
        <v>18</v>
      </c>
      <c r="E12" s="92">
        <f>-[1]ARQUIVO_SAIDA_WMS!$C$5</f>
        <v>503.44389837300002</v>
      </c>
      <c r="F12" s="92">
        <f>-[1]ARQUIVO_SAIDA_WMS!$D$5</f>
        <v>318.33142373800001</v>
      </c>
      <c r="G12" s="92">
        <f>-[1]ARQUIVO_SAIDA_WMS!$E$5</f>
        <v>2046.8923834960001</v>
      </c>
      <c r="H12" s="92">
        <f>-[1]ARQUIVO_SAIDA_WMS!$F$5</f>
        <v>2117.6292001840002</v>
      </c>
      <c r="I12" s="92">
        <f>-[1]ARQUIVO_SAIDA_WMS!$G$5</f>
        <v>957.64261959800001</v>
      </c>
      <c r="J12" s="92">
        <f>-[1]ARQUIVO_SAIDA_WMS!$H$5</f>
        <v>1151.4884084780001</v>
      </c>
      <c r="K12" s="92">
        <f>-[1]ARQUIVO_SAIDA_WMS!$I$5</f>
        <v>858.45255757400002</v>
      </c>
      <c r="L12" s="92">
        <f>-[1]ARQUIVO_SAIDA_WMS!$J$5</f>
        <v>808.50811181899996</v>
      </c>
      <c r="M12" s="92">
        <f>-[1]ARQUIVO_SAIDA_WMS!$K$5</f>
        <v>1246.482803808</v>
      </c>
      <c r="N12" s="92">
        <f>-[1]ARQUIVO_SAIDA_WMS!$L$5</f>
        <v>1446.0550911800001</v>
      </c>
      <c r="O12" s="92">
        <f>-[1]ARQUIVO_SAIDA_WMS!$M$5</f>
        <v>121.975662501</v>
      </c>
      <c r="P12" s="92">
        <f>-[1]ARQUIVO_SAIDA_WMS!$N$5</f>
        <v>125.545967836</v>
      </c>
      <c r="Q12" s="92">
        <f>-[1]ARQUIVO_SAIDA_WMS!$O$5</f>
        <v>68.181183340999993</v>
      </c>
      <c r="R12" s="92">
        <f>-[1]ARQUIVO_SAIDA_WMS!$P$5</f>
        <v>95.505930767999999</v>
      </c>
      <c r="S12" s="103"/>
      <c r="T12" s="92">
        <f>-[1]ARQUIVO_SAIDA_WMS!$Q$5</f>
        <v>5803.0711086909996</v>
      </c>
      <c r="U12" s="92">
        <f>-[1]ARQUIVO_SAIDA_WMS!$R$5</f>
        <v>6063.0641340029997</v>
      </c>
      <c r="V12" s="98"/>
      <c r="W12" s="148" t="str">
        <f t="shared" si="2"/>
        <v>q</v>
      </c>
      <c r="X12" s="92">
        <f>-[1]ARQUIVO_SAIDA_WMS!$S$5</f>
        <v>259.99302531199999</v>
      </c>
      <c r="Y12" s="83">
        <f>+T12/T$9</f>
        <v>0.51016999271797137</v>
      </c>
      <c r="Z12" s="83">
        <f>+U12/U$9</f>
        <v>0.4566681512232223</v>
      </c>
      <c r="AA12" s="136">
        <f>-[1]ARQUIVO_SAIDA_WMS!$T$5</f>
        <v>19306.630284397001</v>
      </c>
      <c r="AB12" s="135">
        <f>+T12/AA12</f>
        <v>0.30057400091101633</v>
      </c>
      <c r="AC12" s="143"/>
      <c r="AD12" s="32"/>
    </row>
    <row r="13" spans="3:30" s="31" customFormat="1" ht="13.5" thickTop="1" thickBot="1">
      <c r="C13" s="127"/>
      <c r="D13" s="87" t="s">
        <v>19</v>
      </c>
      <c r="E13" s="92">
        <f>-[1]ARQUIVO_SAIDA_WMS!$C$6</f>
        <v>37.289508796</v>
      </c>
      <c r="F13" s="92">
        <f>-[1]ARQUIVO_SAIDA_WMS!$D$6</f>
        <v>42.603372378000003</v>
      </c>
      <c r="G13" s="92">
        <f>-[1]ARQUIVO_SAIDA_WMS!$E$6</f>
        <v>889.89054167400002</v>
      </c>
      <c r="H13" s="92">
        <f>-[1]ARQUIVO_SAIDA_WMS!$F$6</f>
        <v>886.86899947200004</v>
      </c>
      <c r="I13" s="92">
        <f>-[1]ARQUIVO_SAIDA_WMS!$G$6</f>
        <v>359.77240331100001</v>
      </c>
      <c r="J13" s="92">
        <f>-[1]ARQUIVO_SAIDA_WMS!$H$6</f>
        <v>367.26016952100002</v>
      </c>
      <c r="K13" s="92">
        <f>-[1]ARQUIVO_SAIDA_WMS!$I$6</f>
        <v>271.90614934299998</v>
      </c>
      <c r="L13" s="92">
        <f>-[1]ARQUIVO_SAIDA_WMS!$J$6</f>
        <v>275.54117033900002</v>
      </c>
      <c r="M13" s="92">
        <f>-[1]ARQUIVO_SAIDA_WMS!$K$6</f>
        <v>682.79906733899998</v>
      </c>
      <c r="N13" s="92">
        <f>-[1]ARQUIVO_SAIDA_WMS!$L$6</f>
        <v>663.42351900899996</v>
      </c>
      <c r="O13" s="92">
        <f>-[1]ARQUIVO_SAIDA_WMS!$M$6</f>
        <v>35.371876933999999</v>
      </c>
      <c r="P13" s="92">
        <f>-[1]ARQUIVO_SAIDA_WMS!$N$6</f>
        <v>35.462407599999999</v>
      </c>
      <c r="Q13" s="92">
        <f>-[1]ARQUIVO_SAIDA_WMS!$O$6</f>
        <v>35.744355839999997</v>
      </c>
      <c r="R13" s="92">
        <f>-[1]ARQUIVO_SAIDA_WMS!$P$6</f>
        <v>35.789633299999998</v>
      </c>
      <c r="S13" s="103"/>
      <c r="T13" s="92">
        <f>-[1]ARQUIVO_SAIDA_WMS!$Q$6</f>
        <v>2312.773903237</v>
      </c>
      <c r="U13" s="92">
        <f>-[1]ARQUIVO_SAIDA_WMS!$R$6</f>
        <v>2306.9492716189998</v>
      </c>
      <c r="V13" s="98"/>
      <c r="W13" s="148" t="str">
        <f t="shared" si="2"/>
        <v>p</v>
      </c>
      <c r="X13" s="92">
        <f>-[1]ARQUIVO_SAIDA_WMS!$S$6</f>
        <v>-5.8246316179999997</v>
      </c>
      <c r="Y13" s="83">
        <f t="shared" ref="Y13:Y20" si="3">+T13/T$9</f>
        <v>0.20332472638593715</v>
      </c>
      <c r="Z13" s="83">
        <f t="shared" ref="Z13:Z20" si="4">+U13/U$9</f>
        <v>0.17375871927985889</v>
      </c>
      <c r="AA13" s="136">
        <f>-[1]ARQUIVO_SAIDA_WMS!$T$6</f>
        <v>7587.9893451469998</v>
      </c>
      <c r="AB13" s="135">
        <f t="shared" ref="AB13:AB26" si="5">+T13/AA13</f>
        <v>0.3047940367386211</v>
      </c>
      <c r="AC13" s="143"/>
      <c r="AD13" s="32"/>
    </row>
    <row r="14" spans="3:30" s="31" customFormat="1" ht="13.5" thickTop="1" thickBot="1">
      <c r="C14" s="127"/>
      <c r="D14" s="87" t="s">
        <v>20</v>
      </c>
      <c r="E14" s="92">
        <f>-[1]ARQUIVO_SAIDA_WMS!$C$7</f>
        <v>313.09402999999998</v>
      </c>
      <c r="F14" s="92">
        <f>-[1]ARQUIVO_SAIDA_WMS!$D$7</f>
        <v>2569.0697466679999</v>
      </c>
      <c r="G14" s="92">
        <f>-[1]ARQUIVO_SAIDA_WMS!$E$7</f>
        <v>1788.0477800000001</v>
      </c>
      <c r="H14" s="92">
        <f>-[1]ARQUIVO_SAIDA_WMS!$F$7</f>
        <v>1053.9235494919999</v>
      </c>
      <c r="I14" s="92">
        <f>-[1]ARQUIVO_SAIDA_WMS!$G$7</f>
        <v>10.88796</v>
      </c>
      <c r="J14" s="92">
        <f>-[1]ARQUIVO_SAIDA_WMS!$H$7</f>
        <v>5.4106933320000001</v>
      </c>
      <c r="K14" s="92">
        <f>-[1]ARQUIVO_SAIDA_WMS!$I$7</f>
        <v>35.927750000000003</v>
      </c>
      <c r="L14" s="92">
        <f>-[1]ARQUIVO_SAIDA_WMS!$J$7</f>
        <v>4.1283341729999998</v>
      </c>
      <c r="M14" s="92">
        <f>-[1]ARQUIVO_SAIDA_WMS!$K$7</f>
        <v>51.652299999999997</v>
      </c>
      <c r="N14" s="92">
        <f>-[1]ARQUIVO_SAIDA_WMS!$L$7</f>
        <v>100.525188618</v>
      </c>
      <c r="O14" s="92">
        <f>-[1]ARQUIVO_SAIDA_WMS!$M$7</f>
        <v>-9.7901399999999992</v>
      </c>
      <c r="P14" s="92">
        <f>-[1]ARQUIVO_SAIDA_WMS!$N$7</f>
        <v>0.1</v>
      </c>
      <c r="Q14" s="92">
        <f>-[1]ARQUIVO_SAIDA_WMS!$O$7</f>
        <v>0</v>
      </c>
      <c r="R14" s="92">
        <f>-[1]ARQUIVO_SAIDA_WMS!$P$7</f>
        <v>0</v>
      </c>
      <c r="S14" s="103"/>
      <c r="T14" s="92">
        <f>-[1]ARQUIVO_SAIDA_WMS!$Q$7</f>
        <v>2189.8196800000001</v>
      </c>
      <c r="U14" s="92">
        <f>-[1]ARQUIVO_SAIDA_WMS!$R$7</f>
        <v>3733.157512283</v>
      </c>
      <c r="V14" s="98"/>
      <c r="W14" s="148" t="str">
        <f t="shared" si="2"/>
        <v>q</v>
      </c>
      <c r="X14" s="92">
        <f>-[1]ARQUIVO_SAIDA_WMS!$S$7</f>
        <v>1543.3378322829999</v>
      </c>
      <c r="Y14" s="83">
        <f t="shared" si="3"/>
        <v>0.19251535424512023</v>
      </c>
      <c r="Z14" s="83">
        <f t="shared" si="4"/>
        <v>0.28118029129832028</v>
      </c>
      <c r="AA14" s="136">
        <f>-[1]ARQUIVO_SAIDA_WMS!$T$7</f>
        <v>12111.755930642001</v>
      </c>
      <c r="AB14" s="135">
        <f t="shared" si="5"/>
        <v>0.18080117305368501</v>
      </c>
      <c r="AC14" s="143"/>
      <c r="AD14" s="32"/>
    </row>
    <row r="15" spans="3:30" s="31" customFormat="1" ht="13.5" thickTop="1" thickBot="1">
      <c r="C15" s="127"/>
      <c r="D15" s="87" t="s">
        <v>42</v>
      </c>
      <c r="E15" s="92">
        <f>-[1]ARQUIVO_SAIDA_WMS!$C$8</f>
        <v>343.379461531</v>
      </c>
      <c r="F15" s="92">
        <f>-[1]ARQUIVO_SAIDA_WMS!$D$8</f>
        <v>453.97140360200001</v>
      </c>
      <c r="G15" s="92">
        <f>-[1]ARQUIVO_SAIDA_WMS!$E$8</f>
        <v>353.02850896400003</v>
      </c>
      <c r="H15" s="92">
        <f>-[1]ARQUIVO_SAIDA_WMS!$F$8</f>
        <v>489.275412937</v>
      </c>
      <c r="I15" s="92">
        <f>-[1]ARQUIVO_SAIDA_WMS!$G$8</f>
        <v>63.746839792999999</v>
      </c>
      <c r="J15" s="92">
        <f>-[1]ARQUIVO_SAIDA_WMS!$H$8</f>
        <v>153.58953010499999</v>
      </c>
      <c r="K15" s="92">
        <f>-[1]ARQUIVO_SAIDA_WMS!$I$8</f>
        <v>41.839429240999998</v>
      </c>
      <c r="L15" s="92">
        <f>-[1]ARQUIVO_SAIDA_WMS!$J$8</f>
        <v>71.272478211000006</v>
      </c>
      <c r="M15" s="92">
        <f>-[1]ARQUIVO_SAIDA_WMS!$K$8</f>
        <v>51.582630307000002</v>
      </c>
      <c r="N15" s="92">
        <f>-[1]ARQUIVO_SAIDA_WMS!$L$8</f>
        <v>194.53554583499999</v>
      </c>
      <c r="O15" s="92">
        <f>-[1]ARQUIVO_SAIDA_WMS!$M$8</f>
        <v>1.042596037</v>
      </c>
      <c r="P15" s="92">
        <f>-[1]ARQUIVO_SAIDA_WMS!$N$8</f>
        <v>14.710190901000001</v>
      </c>
      <c r="Q15" s="92">
        <f>-[1]ARQUIVO_SAIDA_WMS!$O$8</f>
        <v>1.7649999999999999E-2</v>
      </c>
      <c r="R15" s="92">
        <f>-[1]ARQUIVO_SAIDA_WMS!$P$8</f>
        <v>11.237421665999999</v>
      </c>
      <c r="S15" s="103"/>
      <c r="T15" s="92">
        <f>-[1]ARQUIVO_SAIDA_WMS!$Q$8</f>
        <v>854.63711587299997</v>
      </c>
      <c r="U15" s="92">
        <f>-[1]ARQUIVO_SAIDA_WMS!$R$8</f>
        <v>1388.591983257</v>
      </c>
      <c r="V15" s="98"/>
      <c r="W15" s="148" t="str">
        <f t="shared" si="2"/>
        <v>q</v>
      </c>
      <c r="X15" s="92">
        <f>-[1]ARQUIVO_SAIDA_WMS!$S$8</f>
        <v>533.95486738399995</v>
      </c>
      <c r="Y15" s="83">
        <f t="shared" si="3"/>
        <v>7.5134390569235571E-2</v>
      </c>
      <c r="Z15" s="83">
        <f t="shared" si="4"/>
        <v>0.10458832692219847</v>
      </c>
      <c r="AA15" s="136">
        <f>-[1]ARQUIVO_SAIDA_WMS!$T$8</f>
        <v>5393.1654180039995</v>
      </c>
      <c r="AB15" s="135">
        <f t="shared" si="5"/>
        <v>0.15846669805824343</v>
      </c>
      <c r="AC15" s="143"/>
      <c r="AD15" s="32"/>
    </row>
    <row r="16" spans="3:30" s="31" customFormat="1" ht="13.5" thickTop="1" thickBot="1">
      <c r="C16" s="127"/>
      <c r="D16" s="87" t="s">
        <v>21</v>
      </c>
      <c r="E16" s="92">
        <f>-[1]ARQUIVO_SAIDA_WMS!$C$9</f>
        <v>1.92439</v>
      </c>
      <c r="F16" s="92">
        <f>-[1]ARQUIVO_SAIDA_WMS!$D$9</f>
        <v>0</v>
      </c>
      <c r="G16" s="92">
        <f>-[1]ARQUIVO_SAIDA_WMS!$E$9</f>
        <v>0</v>
      </c>
      <c r="H16" s="92">
        <f>-[1]ARQUIVO_SAIDA_WMS!$F$9</f>
        <v>0</v>
      </c>
      <c r="I16" s="92">
        <f>-[1]ARQUIVO_SAIDA_WMS!$G$9</f>
        <v>0.90046000000000004</v>
      </c>
      <c r="J16" s="92">
        <f>-[1]ARQUIVO_SAIDA_WMS!$H$9</f>
        <v>0</v>
      </c>
      <c r="K16" s="92">
        <f>-[1]ARQUIVO_SAIDA_WMS!$I$9</f>
        <v>0.26425999999999999</v>
      </c>
      <c r="L16" s="92">
        <f>-[1]ARQUIVO_SAIDA_WMS!$J$9</f>
        <v>0</v>
      </c>
      <c r="M16" s="92">
        <f>-[1]ARQUIVO_SAIDA_WMS!$K$9</f>
        <v>55.418399999999998</v>
      </c>
      <c r="N16" s="92">
        <f>-[1]ARQUIVO_SAIDA_WMS!$L$9</f>
        <v>0</v>
      </c>
      <c r="O16" s="92">
        <f>-[1]ARQUIVO_SAIDA_WMS!$M$9</f>
        <v>0</v>
      </c>
      <c r="P16" s="92">
        <f>-[1]ARQUIVO_SAIDA_WMS!$N$9</f>
        <v>0</v>
      </c>
      <c r="Q16" s="92">
        <f>-[1]ARQUIVO_SAIDA_WMS!$O$9</f>
        <v>0</v>
      </c>
      <c r="R16" s="92">
        <f>-[1]ARQUIVO_SAIDA_WMS!$P$9</f>
        <v>0</v>
      </c>
      <c r="S16" s="103"/>
      <c r="T16" s="92">
        <f>-[1]ARQUIVO_SAIDA_WMS!$Q$9</f>
        <v>58.507510000000003</v>
      </c>
      <c r="U16" s="92">
        <f>-[1]ARQUIVO_SAIDA_WMS!$R$9</f>
        <v>0</v>
      </c>
      <c r="V16" s="98"/>
      <c r="W16" s="148" t="str">
        <f t="shared" si="2"/>
        <v>p</v>
      </c>
      <c r="X16" s="92">
        <f>-[1]ARQUIVO_SAIDA_WMS!$S$9</f>
        <v>-58.507510000000003</v>
      </c>
      <c r="Y16" s="83">
        <f t="shared" si="3"/>
        <v>5.1436171281691624E-3</v>
      </c>
      <c r="Z16" s="83">
        <f t="shared" si="4"/>
        <v>0</v>
      </c>
      <c r="AA16" s="136">
        <f>-[1]ARQUIVO_SAIDA_WMS!$T$9</f>
        <v>0</v>
      </c>
      <c r="AB16" s="135" t="e">
        <f>+T16/AA16</f>
        <v>#DIV/0!</v>
      </c>
      <c r="AC16" s="143"/>
      <c r="AD16" s="32"/>
    </row>
    <row r="17" spans="3:30" s="31" customFormat="1" ht="13.5" thickTop="1" thickBot="1">
      <c r="C17" s="127"/>
      <c r="D17" s="87" t="s">
        <v>22</v>
      </c>
      <c r="E17" s="92">
        <f>-[1]ARQUIVO_SAIDA_WMS!$C$10</f>
        <v>66.284809999999993</v>
      </c>
      <c r="F17" s="92">
        <f>-[1]ARQUIVO_SAIDA_WMS!$D$10</f>
        <v>83.500000004</v>
      </c>
      <c r="G17" s="92">
        <f>-[1]ARQUIVO_SAIDA_WMS!$E$10</f>
        <v>37.44567</v>
      </c>
      <c r="H17" s="92">
        <f>-[1]ARQUIVO_SAIDA_WMS!$F$10</f>
        <v>86.61841862</v>
      </c>
      <c r="I17" s="92">
        <f>-[1]ARQUIVO_SAIDA_WMS!$G$10</f>
        <v>1.7489999999999999E-2</v>
      </c>
      <c r="J17" s="92">
        <f>-[1]ARQUIVO_SAIDA_WMS!$H$10</f>
        <v>1.8</v>
      </c>
      <c r="K17" s="92">
        <f>-[1]ARQUIVO_SAIDA_WMS!$I$10</f>
        <v>0</v>
      </c>
      <c r="L17" s="92">
        <f>-[1]ARQUIVO_SAIDA_WMS!$J$10</f>
        <v>2.9215200000000001</v>
      </c>
      <c r="M17" s="92">
        <f>-[1]ARQUIVO_SAIDA_WMS!$K$10</f>
        <v>4.0910799999999998</v>
      </c>
      <c r="N17" s="92">
        <f>-[1]ARQUIVO_SAIDA_WMS!$L$10</f>
        <v>3.469653332</v>
      </c>
      <c r="O17" s="92">
        <f>-[1]ARQUIVO_SAIDA_WMS!$M$10</f>
        <v>0</v>
      </c>
      <c r="P17" s="92">
        <f>-[1]ARQUIVO_SAIDA_WMS!$N$10</f>
        <v>1.8</v>
      </c>
      <c r="Q17" s="92">
        <f>-[1]ARQUIVO_SAIDA_WMS!$O$10</f>
        <v>0</v>
      </c>
      <c r="R17" s="92">
        <f>-[1]ARQUIVO_SAIDA_WMS!$P$10</f>
        <v>1.8</v>
      </c>
      <c r="S17" s="103"/>
      <c r="T17" s="92">
        <f>-[1]ARQUIVO_SAIDA_WMS!$Q$10</f>
        <v>107.83905</v>
      </c>
      <c r="U17" s="92">
        <f>-[1]ARQUIVO_SAIDA_WMS!$R$10</f>
        <v>181.90959195600001</v>
      </c>
      <c r="V17" s="98"/>
      <c r="W17" s="148" t="str">
        <f t="shared" si="2"/>
        <v>q</v>
      </c>
      <c r="X17" s="92">
        <f>-[1]ARQUIVO_SAIDA_WMS!$S$10</f>
        <v>74.070541956</v>
      </c>
      <c r="Y17" s="83">
        <f t="shared" si="3"/>
        <v>9.4805399283868132E-3</v>
      </c>
      <c r="Z17" s="83">
        <f t="shared" si="4"/>
        <v>1.3701375280269497E-2</v>
      </c>
      <c r="AA17" s="136">
        <f>-[1]ARQUIVO_SAIDA_WMS!$T$10</f>
        <v>575.72877586799996</v>
      </c>
      <c r="AB17" s="135">
        <f t="shared" si="5"/>
        <v>0.18730877197759657</v>
      </c>
      <c r="AC17" s="143"/>
      <c r="AD17" s="32"/>
    </row>
    <row r="18" spans="3:30" s="13" customFormat="1" ht="13.5" thickTop="1" thickBot="1">
      <c r="C18" s="127"/>
      <c r="D18" s="87" t="s">
        <v>23</v>
      </c>
      <c r="E18" s="92">
        <f>-[1]ARQUIVO_SAIDA_WMS!$C$11</f>
        <v>86.471090000000004</v>
      </c>
      <c r="F18" s="92">
        <f>-[1]ARQUIVO_SAIDA_WMS!$D$11</f>
        <v>58.979297668000001</v>
      </c>
      <c r="G18" s="92">
        <f>-[1]ARQUIVO_SAIDA_WMS!$E$11</f>
        <v>22.401309999999999</v>
      </c>
      <c r="H18" s="92">
        <f>-[1]ARQUIVO_SAIDA_WMS!$F$11</f>
        <v>32.828458564000002</v>
      </c>
      <c r="I18" s="92">
        <f>-[1]ARQUIVO_SAIDA_WMS!$G$11</f>
        <v>11.224360000000001</v>
      </c>
      <c r="J18" s="92">
        <f>-[1]ARQUIVO_SAIDA_WMS!$H$11</f>
        <v>7.3559933480000002</v>
      </c>
      <c r="K18" s="92">
        <f>-[1]ARQUIVO_SAIDA_WMS!$I$11</f>
        <v>7.6549500000000004</v>
      </c>
      <c r="L18" s="92">
        <f>-[1]ARQUIVO_SAIDA_WMS!$J$11</f>
        <v>11.104378222999999</v>
      </c>
      <c r="M18" s="92">
        <f>-[1]ARQUIVO_SAIDA_WMS!$K$11</f>
        <v>15.39113</v>
      </c>
      <c r="N18" s="92">
        <f>-[1]ARQUIVO_SAIDA_WMS!$L$11</f>
        <v>22.917791976</v>
      </c>
      <c r="O18" s="92">
        <f>-[1]ARQUIVO_SAIDA_WMS!$M$11</f>
        <v>0.14498</v>
      </c>
      <c r="P18" s="92">
        <f>-[1]ARQUIVO_SAIDA_WMS!$N$11</f>
        <v>0.13252</v>
      </c>
      <c r="Q18" s="92">
        <f>-[1]ARQUIVO_SAIDA_WMS!$O$11</f>
        <v>0</v>
      </c>
      <c r="R18" s="92">
        <f>-[1]ARQUIVO_SAIDA_WMS!$P$11</f>
        <v>6.2533320000000003E-3</v>
      </c>
      <c r="S18" s="98"/>
      <c r="T18" s="92">
        <f>-[1]ARQUIVO_SAIDA_WMS!$Q$11</f>
        <v>143.28782000000001</v>
      </c>
      <c r="U18" s="92">
        <f>-[1]ARQUIVO_SAIDA_WMS!$R$11</f>
        <v>133.32469311099999</v>
      </c>
      <c r="V18" s="98"/>
      <c r="W18" s="148" t="str">
        <f t="shared" si="2"/>
        <v>p</v>
      </c>
      <c r="X18" s="92">
        <f>-[1]ARQUIVO_SAIDA_WMS!$S$11</f>
        <v>-9.9631268889999998</v>
      </c>
      <c r="Y18" s="83">
        <f t="shared" si="3"/>
        <v>1.2596975759351576E-2</v>
      </c>
      <c r="Z18" s="83">
        <f t="shared" si="4"/>
        <v>1.0041975438449769E-2</v>
      </c>
      <c r="AA18" s="136">
        <f>-[1]ARQUIVO_SAIDA_WMS!$T$11</f>
        <v>394.31414132399999</v>
      </c>
      <c r="AB18" s="135">
        <f t="shared" si="5"/>
        <v>0.3633849385134359</v>
      </c>
      <c r="AC18" s="143"/>
      <c r="AD18" s="15"/>
    </row>
    <row r="19" spans="3:30" s="13" customFormat="1" ht="12" customHeight="1" thickTop="1" thickBot="1">
      <c r="C19" s="127"/>
      <c r="D19" s="87" t="s">
        <v>24</v>
      </c>
      <c r="E19" s="92">
        <f>-[1]ARQUIVO_SAIDA_WMS!$C$12</f>
        <v>0.38793</v>
      </c>
      <c r="F19" s="92">
        <f>-[1]ARQUIVO_SAIDA_WMS!$D$12</f>
        <v>0</v>
      </c>
      <c r="G19" s="92">
        <f>-[1]ARQUIVO_SAIDA_WMS!$E$12</f>
        <v>0</v>
      </c>
      <c r="H19" s="92">
        <f>-[1]ARQUIVO_SAIDA_WMS!$F$12</f>
        <v>0</v>
      </c>
      <c r="I19" s="92">
        <f>-[1]ARQUIVO_SAIDA_WMS!$G$12</f>
        <v>3.25</v>
      </c>
      <c r="J19" s="92">
        <f>-[1]ARQUIVO_SAIDA_WMS!$H$12</f>
        <v>0</v>
      </c>
      <c r="K19" s="92">
        <f>-[1]ARQUIVO_SAIDA_WMS!$I$12</f>
        <v>0</v>
      </c>
      <c r="L19" s="92">
        <f>-[1]ARQUIVO_SAIDA_WMS!$J$12</f>
        <v>0</v>
      </c>
      <c r="M19" s="92">
        <f>-[1]ARQUIVO_SAIDA_WMS!$K$12</f>
        <v>0</v>
      </c>
      <c r="N19" s="92">
        <f>-[1]ARQUIVO_SAIDA_WMS!$L$12</f>
        <v>0</v>
      </c>
      <c r="O19" s="92">
        <f>-[1]ARQUIVO_SAIDA_WMS!$M$12</f>
        <v>0</v>
      </c>
      <c r="P19" s="92">
        <f>-[1]ARQUIVO_SAIDA_WMS!$N$12</f>
        <v>0</v>
      </c>
      <c r="Q19" s="92">
        <f>-[1]ARQUIVO_SAIDA_WMS!$O$12</f>
        <v>0</v>
      </c>
      <c r="R19" s="92">
        <f>-[1]ARQUIVO_SAIDA_WMS!$P$12</f>
        <v>0</v>
      </c>
      <c r="S19" s="98"/>
      <c r="T19" s="92">
        <f>-[1]ARQUIVO_SAIDA_WMS!$Q$12</f>
        <v>3.6379299999999999</v>
      </c>
      <c r="U19" s="92">
        <f>-[1]ARQUIVO_SAIDA_WMS!$R$12</f>
        <v>0</v>
      </c>
      <c r="V19" s="98"/>
      <c r="W19" s="148" t="str">
        <f t="shared" si="2"/>
        <v>p</v>
      </c>
      <c r="X19" s="92">
        <f>-[1]ARQUIVO_SAIDA_WMS!$S$12</f>
        <v>-3.6379299999999999</v>
      </c>
      <c r="Y19" s="83">
        <f t="shared" si="3"/>
        <v>3.1982422528459064E-4</v>
      </c>
      <c r="Z19" s="83">
        <f t="shared" si="4"/>
        <v>0</v>
      </c>
      <c r="AA19" s="136">
        <f>-[1]ARQUIVO_SAIDA_WMS!$T$12</f>
        <v>0</v>
      </c>
      <c r="AB19" s="135" t="e">
        <f t="shared" si="5"/>
        <v>#DIV/0!</v>
      </c>
      <c r="AC19" s="143"/>
      <c r="AD19" s="15"/>
    </row>
    <row r="20" spans="3:30" s="13" customFormat="1" ht="12" customHeight="1" thickTop="1" thickBot="1">
      <c r="C20" s="127"/>
      <c r="D20" s="87" t="s">
        <v>25</v>
      </c>
      <c r="E20" s="92">
        <f>-[1]ARQUIVO_SAIDA_WMS!$C$13</f>
        <v>23.651800000000001</v>
      </c>
      <c r="F20" s="92">
        <f>-[1]ARQUIVO_SAIDA_WMS!$D$13</f>
        <v>32.301859917999998</v>
      </c>
      <c r="G20" s="92">
        <f>-[1]ARQUIVO_SAIDA_WMS!$E$13</f>
        <v>16.381060000000002</v>
      </c>
      <c r="H20" s="92">
        <f>-[1]ARQUIVO_SAIDA_WMS!$F$13</f>
        <v>2.4684520729999999</v>
      </c>
      <c r="I20" s="92">
        <f>-[1]ARQUIVO_SAIDA_WMS!$G$13</f>
        <v>5.4132699999999998</v>
      </c>
      <c r="J20" s="92">
        <f>-[1]ARQUIVO_SAIDA_WMS!$H$13</f>
        <v>-3.6276068989999999</v>
      </c>
      <c r="K20" s="92">
        <f>-[1]ARQUIVO_SAIDA_WMS!$I$13</f>
        <v>7.9744200000000003</v>
      </c>
      <c r="L20" s="92">
        <f>-[1]ARQUIVO_SAIDA_WMS!$J$13</f>
        <v>13.795020028</v>
      </c>
      <c r="M20" s="92">
        <f>-[1]ARQUIVO_SAIDA_WMS!$K$13</f>
        <v>12.54208</v>
      </c>
      <c r="N20" s="92">
        <f>-[1]ARQUIVO_SAIDA_WMS!$L$13</f>
        <v>25.679648557</v>
      </c>
      <c r="O20" s="92">
        <f>-[1]ARQUIVO_SAIDA_WMS!$M$13</f>
        <v>0.59616999999999998</v>
      </c>
      <c r="P20" s="92">
        <f>-[1]ARQUIVO_SAIDA_WMS!$N$13</f>
        <v>0.16070585100000001</v>
      </c>
      <c r="Q20" s="92">
        <f>-[1]ARQUIVO_SAIDA_WMS!$O$13</f>
        <v>1.3520000000000001E-2</v>
      </c>
      <c r="R20" s="92">
        <f>-[1]ARQUIVO_SAIDA_WMS!$P$13</f>
        <v>-0.26817339000000001</v>
      </c>
      <c r="S20" s="98"/>
      <c r="T20" s="92">
        <f>-[1]ARQUIVO_SAIDA_WMS!$Q$13</f>
        <v>66.572320000000005</v>
      </c>
      <c r="U20" s="92">
        <f>-[1]ARQUIVO_SAIDA_WMS!$R$13</f>
        <v>70.509906138000005</v>
      </c>
      <c r="V20" s="98"/>
      <c r="W20" s="148" t="str">
        <f t="shared" si="2"/>
        <v>q</v>
      </c>
      <c r="X20" s="92">
        <f>-[1]ARQUIVO_SAIDA_WMS!$S$13</f>
        <v>3.9375861379999999</v>
      </c>
      <c r="Y20" s="83">
        <f t="shared" si="3"/>
        <v>5.8526251657942466E-3</v>
      </c>
      <c r="Z20" s="83">
        <f t="shared" si="4"/>
        <v>5.3107847397458304E-3</v>
      </c>
      <c r="AA20" s="136">
        <f>-[1]ARQUIVO_SAIDA_WMS!$T$13</f>
        <v>128.394668895</v>
      </c>
      <c r="AB20" s="135">
        <f t="shared" si="5"/>
        <v>0.51849754022452632</v>
      </c>
      <c r="AC20" s="143"/>
      <c r="AD20" s="15"/>
    </row>
    <row r="21" spans="3:30" s="13" customFormat="1" ht="6" customHeight="1" thickTop="1" thickBot="1">
      <c r="C21" s="128"/>
      <c r="D21" s="3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149"/>
      <c r="X21" s="98"/>
      <c r="Y21" s="83"/>
      <c r="Z21" s="83"/>
      <c r="AA21" s="136"/>
      <c r="AB21" s="135"/>
      <c r="AC21" s="143"/>
      <c r="AD21" s="15"/>
    </row>
    <row r="22" spans="3:30" s="13" customFormat="1" ht="13.5" thickTop="1" thickBot="1">
      <c r="C22" s="126"/>
      <c r="D22" s="99" t="s">
        <v>26</v>
      </c>
      <c r="E22" s="100">
        <f>SUM(E23:E26)</f>
        <v>389.73429271600003</v>
      </c>
      <c r="F22" s="100">
        <f t="shared" ref="F22:R22" si="6">SUM(F23:F26)</f>
        <v>635.20439562500007</v>
      </c>
      <c r="G22" s="100">
        <f t="shared" si="6"/>
        <v>-175.02323736599988</v>
      </c>
      <c r="H22" s="100">
        <f t="shared" si="6"/>
        <v>-440.63423016299993</v>
      </c>
      <c r="I22" s="100">
        <f t="shared" si="6"/>
        <v>-228.28803224200004</v>
      </c>
      <c r="J22" s="100">
        <f t="shared" si="6"/>
        <v>-212.34641184199998</v>
      </c>
      <c r="K22" s="100">
        <f t="shared" si="6"/>
        <v>400.57481991099996</v>
      </c>
      <c r="L22" s="100">
        <f t="shared" si="6"/>
        <v>-162.198765318</v>
      </c>
      <c r="M22" s="100">
        <f t="shared" si="6"/>
        <v>-513.79936724499998</v>
      </c>
      <c r="N22" s="100">
        <f t="shared" si="6"/>
        <v>-352.149039679</v>
      </c>
      <c r="O22" s="100">
        <f t="shared" si="6"/>
        <v>-2.9480253549999986</v>
      </c>
      <c r="P22" s="100">
        <f t="shared" si="6"/>
        <v>-33.213054960000001</v>
      </c>
      <c r="Q22" s="100">
        <f t="shared" si="6"/>
        <v>-35.617517573999997</v>
      </c>
      <c r="R22" s="100">
        <f t="shared" si="6"/>
        <v>-35.430371579999999</v>
      </c>
      <c r="S22" s="101"/>
      <c r="T22" s="91">
        <f>SUM(T23:T26)</f>
        <v>-165.36706715500026</v>
      </c>
      <c r="U22" s="91">
        <f>SUM(U23:U26)</f>
        <v>-600.76747791700018</v>
      </c>
      <c r="V22" s="101"/>
      <c r="W22" s="148" t="str">
        <f t="shared" si="2"/>
        <v>p</v>
      </c>
      <c r="X22" s="97">
        <f>SUM(X23:X26)</f>
        <v>-435.40041076199998</v>
      </c>
      <c r="Y22" s="83"/>
      <c r="Z22" s="83"/>
      <c r="AA22" s="136"/>
      <c r="AB22" s="135"/>
      <c r="AC22" s="144"/>
      <c r="AD22" s="15"/>
    </row>
    <row r="23" spans="3:30" s="13" customFormat="1" ht="13.5" thickTop="1" thickBot="1">
      <c r="C23" s="127"/>
      <c r="D23" s="87" t="s">
        <v>27</v>
      </c>
      <c r="E23" s="92">
        <f>-[1]ARQUIVO_SAIDA_WMS!$C$15</f>
        <v>-41.801085464000003</v>
      </c>
      <c r="F23" s="92">
        <f>-[1]ARQUIVO_SAIDA_WMS!$D$15</f>
        <v>-42.603377164000001</v>
      </c>
      <c r="G23" s="92">
        <f>-[1]ARQUIVO_SAIDA_WMS!$E$15</f>
        <v>-891.18041500899994</v>
      </c>
      <c r="H23" s="92">
        <f>-[1]ARQUIVO_SAIDA_WMS!$F$15</f>
        <v>-886.86899559599999</v>
      </c>
      <c r="I23" s="92">
        <f>-[1]ARQUIVO_SAIDA_WMS!$G$15</f>
        <v>-365.91012330900003</v>
      </c>
      <c r="J23" s="92">
        <f>-[1]ARQUIVO_SAIDA_WMS!$H$15</f>
        <v>-367.26016241999997</v>
      </c>
      <c r="K23" s="92">
        <f>-[1]ARQUIVO_SAIDA_WMS!$I$15</f>
        <v>-278.70586601100001</v>
      </c>
      <c r="L23" s="92">
        <f>-[1]ARQUIVO_SAIDA_WMS!$J$15</f>
        <v>-275.54118199200002</v>
      </c>
      <c r="M23" s="92">
        <f>-[1]ARQUIVO_SAIDA_WMS!$K$15</f>
        <v>-673.25896067099995</v>
      </c>
      <c r="N23" s="92">
        <f>-[1]ARQUIVO_SAIDA_WMS!$L$15</f>
        <v>-663.42352333999997</v>
      </c>
      <c r="O23" s="92">
        <f>-[1]ARQUIVO_SAIDA_WMS!$M$15</f>
        <v>-35.371876933999999</v>
      </c>
      <c r="P23" s="92">
        <f>-[1]ARQUIVO_SAIDA_WMS!$N$15</f>
        <v>-35.462411332000002</v>
      </c>
      <c r="Q23" s="92">
        <f>-[1]ARQUIVO_SAIDA_WMS!$O$15</f>
        <v>-35.744355839999997</v>
      </c>
      <c r="R23" s="92">
        <f>-[1]ARQUIVO_SAIDA_WMS!$P$15</f>
        <v>-35.789634919999997</v>
      </c>
      <c r="S23" s="73"/>
      <c r="T23" s="92">
        <f>-[1]ARQUIVO_SAIDA_WMS!$Q$15</f>
        <v>-2321.9726832380002</v>
      </c>
      <c r="U23" s="92">
        <f>-[1]ARQUIVO_SAIDA_WMS!$R$15</f>
        <v>-2306.9492867640001</v>
      </c>
      <c r="V23" s="73"/>
      <c r="W23" s="148" t="str">
        <f t="shared" si="2"/>
        <v>q</v>
      </c>
      <c r="X23" s="92">
        <f>-[1]ARQUIVO_SAIDA_WMS!$S$15</f>
        <v>15.023396474</v>
      </c>
      <c r="Y23" s="83">
        <f>+T23/T$9</f>
        <v>-0.2041334260275969</v>
      </c>
      <c r="Z23" s="83">
        <f>+U23/U$9</f>
        <v>-0.17375872042057572</v>
      </c>
      <c r="AA23" s="136">
        <f>-[1]ARQUIVO_SAIDA_WMS!$T$15</f>
        <v>-7587.9893602920001</v>
      </c>
      <c r="AB23" s="135">
        <f t="shared" si="5"/>
        <v>0.30600631774589709</v>
      </c>
      <c r="AC23" s="144"/>
      <c r="AD23" s="15"/>
    </row>
    <row r="24" spans="3:30" s="13" customFormat="1" ht="13.5" thickTop="1" thickBot="1">
      <c r="C24" s="127"/>
      <c r="D24" s="87" t="s">
        <v>43</v>
      </c>
      <c r="E24" s="92">
        <f>-[1]ARQUIVO_SAIDA_WMS!$C$16</f>
        <v>13.524405087</v>
      </c>
      <c r="F24" s="92">
        <f>-[1]ARQUIVO_SAIDA_WMS!$D$16</f>
        <v>11.153169112</v>
      </c>
      <c r="G24" s="92">
        <f>-[1]ARQUIVO_SAIDA_WMS!$E$16</f>
        <v>13.959615426999999</v>
      </c>
      <c r="H24" s="92">
        <f>-[1]ARQUIVO_SAIDA_WMS!$F$16</f>
        <v>26.911758518999999</v>
      </c>
      <c r="I24" s="92">
        <f>-[1]ARQUIVO_SAIDA_WMS!$G$16</f>
        <v>8.5729041339999998</v>
      </c>
      <c r="J24" s="92">
        <f>-[1]ARQUIVO_SAIDA_WMS!$H$16</f>
        <v>14.183386253</v>
      </c>
      <c r="K24" s="92">
        <f>-[1]ARQUIVO_SAIDA_WMS!$I$16</f>
        <v>6.6704932929999998</v>
      </c>
      <c r="L24" s="92">
        <f>-[1]ARQUIVO_SAIDA_WMS!$J$16</f>
        <v>13.163305701000001</v>
      </c>
      <c r="M24" s="92">
        <f>-[1]ARQUIVO_SAIDA_WMS!$K$16</f>
        <v>11.04193557</v>
      </c>
      <c r="N24" s="92">
        <f>-[1]ARQUIVO_SAIDA_WMS!$L$16</f>
        <v>22.308726974999999</v>
      </c>
      <c r="O24" s="92">
        <f>-[1]ARQUIVO_SAIDA_WMS!$M$16</f>
        <v>1.1252940680000001</v>
      </c>
      <c r="P24" s="92">
        <f>-[1]ARQUIVO_SAIDA_WMS!$N$16</f>
        <v>2.2493563719999998</v>
      </c>
      <c r="Q24" s="92">
        <f>-[1]ARQUIVO_SAIDA_WMS!$O$16</f>
        <v>0.12683826600000001</v>
      </c>
      <c r="R24" s="92">
        <f>-[1]ARQUIVO_SAIDA_WMS!$P$16</f>
        <v>0.35926333999999999</v>
      </c>
      <c r="S24" s="73"/>
      <c r="T24" s="92">
        <f>-[1]ARQUIVO_SAIDA_WMS!$Q$16</f>
        <v>55.021485845000001</v>
      </c>
      <c r="U24" s="92">
        <f>-[1]ARQUIVO_SAIDA_WMS!$R$16</f>
        <v>90.328966272000002</v>
      </c>
      <c r="V24" s="73"/>
      <c r="W24" s="148" t="str">
        <f t="shared" si="2"/>
        <v>q</v>
      </c>
      <c r="X24" s="92">
        <f>-[1]ARQUIVO_SAIDA_WMS!$S$16</f>
        <v>35.307480427000002</v>
      </c>
      <c r="Y24" s="83">
        <f t="shared" ref="Y24:Y26" si="7">+T24/T$9</f>
        <v>4.8371475219105911E-3</v>
      </c>
      <c r="Z24" s="83">
        <f t="shared" ref="Z24:Z26" si="8">+U24/U$9</f>
        <v>6.8035503365365914E-3</v>
      </c>
      <c r="AA24" s="136">
        <f>-[1]ARQUIVO_SAIDA_WMS!$T$16</f>
        <v>274.67320933000002</v>
      </c>
      <c r="AB24" s="135">
        <f t="shared" si="5"/>
        <v>0.2003161720038581</v>
      </c>
      <c r="AC24" s="144"/>
      <c r="AD24" s="15"/>
    </row>
    <row r="25" spans="3:30" s="13" customFormat="1" ht="13.5" thickTop="1" thickBot="1">
      <c r="C25" s="127"/>
      <c r="D25" s="87" t="s">
        <v>44</v>
      </c>
      <c r="E25" s="92">
        <f>-[1]ARQUIVO_SAIDA_WMS!$C$17</f>
        <v>418.01097309300002</v>
      </c>
      <c r="F25" s="92">
        <f>-[1]ARQUIVO_SAIDA_WMS!$D$17</f>
        <v>666.63832771700004</v>
      </c>
      <c r="G25" s="92">
        <f>-[1]ARQUIVO_SAIDA_WMS!$E$17</f>
        <v>702.19756221600005</v>
      </c>
      <c r="H25" s="92">
        <f>-[1]ARQUIVO_SAIDA_WMS!$F$17</f>
        <v>419.32300691400002</v>
      </c>
      <c r="I25" s="92">
        <f>-[1]ARQUIVO_SAIDA_WMS!$G$17</f>
        <v>129.04918693299999</v>
      </c>
      <c r="J25" s="92">
        <f>-[1]ARQUIVO_SAIDA_WMS!$H$17</f>
        <v>140.73036432500001</v>
      </c>
      <c r="K25" s="92">
        <f>-[1]ARQUIVO_SAIDA_WMS!$I$17</f>
        <v>672.57107167599997</v>
      </c>
      <c r="L25" s="92">
        <f>-[1]ARQUIVO_SAIDA_WMS!$J$17</f>
        <v>100.17616129300001</v>
      </c>
      <c r="M25" s="92">
        <f>-[1]ARQUIVO_SAIDA_WMS!$K$17</f>
        <v>122.128179293</v>
      </c>
      <c r="N25" s="92">
        <f>-[1]ARQUIVO_SAIDA_WMS!$L$17</f>
        <v>232.307238732</v>
      </c>
      <c r="O25" s="92">
        <f>-[1]ARQUIVO_SAIDA_WMS!$M$17</f>
        <v>31.298557510999998</v>
      </c>
      <c r="P25" s="92">
        <f>-[1]ARQUIVO_SAIDA_WMS!$N$17</f>
        <v>0</v>
      </c>
      <c r="Q25" s="92">
        <f>-[1]ARQUIVO_SAIDA_WMS!$O$17</f>
        <v>0</v>
      </c>
      <c r="R25" s="92">
        <f>-[1]ARQUIVO_SAIDA_WMS!$P$17</f>
        <v>0</v>
      </c>
      <c r="S25" s="73"/>
      <c r="T25" s="92">
        <f>-[1]ARQUIVO_SAIDA_WMS!$Q$17</f>
        <v>2075.255530722</v>
      </c>
      <c r="U25" s="92">
        <f>-[1]ARQUIVO_SAIDA_WMS!$R$17</f>
        <v>1559.175098981</v>
      </c>
      <c r="V25" s="73"/>
      <c r="W25" s="148" t="str">
        <f t="shared" si="2"/>
        <v>p</v>
      </c>
      <c r="X25" s="92">
        <f>-[1]ARQUIVO_SAIDA_WMS!$S$17</f>
        <v>-516.08043174099998</v>
      </c>
      <c r="Y25" s="83">
        <f t="shared" si="7"/>
        <v>0.18244358533031854</v>
      </c>
      <c r="Z25" s="83">
        <f t="shared" si="8"/>
        <v>0.11743659544878331</v>
      </c>
      <c r="AA25" s="136">
        <f>-[1]ARQUIVO_SAIDA_WMS!$T$17</f>
        <v>4769.7174824949998</v>
      </c>
      <c r="AB25" s="135">
        <f t="shared" si="5"/>
        <v>0.43508982205722824</v>
      </c>
      <c r="AC25" s="144"/>
      <c r="AD25" s="15"/>
    </row>
    <row r="26" spans="3:30" s="13" customFormat="1" ht="13.5" customHeight="1" thickTop="1" thickBot="1">
      <c r="C26" s="127"/>
      <c r="D26" s="87" t="s">
        <v>45</v>
      </c>
      <c r="E26" s="92">
        <f>-[1]ARQUIVO_SAIDA_WMS!$C$18</f>
        <v>0</v>
      </c>
      <c r="F26" s="92">
        <f>-[1]ARQUIVO_SAIDA_WMS!$D$18</f>
        <v>1.6275959999999999E-2</v>
      </c>
      <c r="G26" s="92">
        <f>-[1]ARQUIVO_SAIDA_WMS!$E$18</f>
        <v>0</v>
      </c>
      <c r="H26" s="92">
        <f>-[1]ARQUIVO_SAIDA_WMS!$F$18</f>
        <v>0</v>
      </c>
      <c r="I26" s="92">
        <f>-[1]ARQUIVO_SAIDA_WMS!$G$18</f>
        <v>0</v>
      </c>
      <c r="J26" s="92">
        <f>-[1]ARQUIVO_SAIDA_WMS!$H$18</f>
        <v>0</v>
      </c>
      <c r="K26" s="92">
        <f>-[1]ARQUIVO_SAIDA_WMS!$I$18</f>
        <v>3.9120953E-2</v>
      </c>
      <c r="L26" s="92">
        <f>-[1]ARQUIVO_SAIDA_WMS!$J$18</f>
        <v>2.9496800000000001E-3</v>
      </c>
      <c r="M26" s="92">
        <f>-[1]ARQUIVO_SAIDA_WMS!$K$18</f>
        <v>26.289478562999999</v>
      </c>
      <c r="N26" s="92">
        <f>-[1]ARQUIVO_SAIDA_WMS!$L$18</f>
        <v>56.658517953999997</v>
      </c>
      <c r="O26" s="92">
        <f>-[1]ARQUIVO_SAIDA_WMS!$M$18</f>
        <v>0</v>
      </c>
      <c r="P26" s="92">
        <f>-[1]ARQUIVO_SAIDA_WMS!$N$18</f>
        <v>0</v>
      </c>
      <c r="Q26" s="92">
        <f>-[1]ARQUIVO_SAIDA_WMS!$O$18</f>
        <v>0</v>
      </c>
      <c r="R26" s="92">
        <f>-[1]ARQUIVO_SAIDA_WMS!$P$18</f>
        <v>0</v>
      </c>
      <c r="S26" s="98"/>
      <c r="T26" s="92">
        <f>-[1]ARQUIVO_SAIDA_WMS!$Q$18</f>
        <v>26.328599516000001</v>
      </c>
      <c r="U26" s="92">
        <f>-[1]ARQUIVO_SAIDA_WMS!$R$18</f>
        <v>56.677743593999999</v>
      </c>
      <c r="V26" s="98"/>
      <c r="W26" s="148" t="str">
        <f t="shared" si="2"/>
        <v>q</v>
      </c>
      <c r="X26" s="92">
        <f>-[1]ARQUIVO_SAIDA_WMS!$S$18</f>
        <v>30.349144077999998</v>
      </c>
      <c r="Y26" s="83">
        <f t="shared" si="7"/>
        <v>2.3146470501172228E-3</v>
      </c>
      <c r="Z26" s="83">
        <f t="shared" si="8"/>
        <v>4.2689504531906054E-3</v>
      </c>
      <c r="AA26" s="136">
        <f>-[1]ARQUIVO_SAIDA_WMS!$T$18</f>
        <v>160.82284157199999</v>
      </c>
      <c r="AB26" s="135">
        <f t="shared" si="5"/>
        <v>0.16371181642262397</v>
      </c>
      <c r="AC26" s="144"/>
      <c r="AD26" s="15"/>
    </row>
    <row r="27" spans="3:30" ht="11.25" customHeight="1" thickTop="1">
      <c r="C27" s="129"/>
      <c r="D27" s="34" t="s">
        <v>28</v>
      </c>
      <c r="E27" s="35"/>
      <c r="F27" s="35"/>
      <c r="G27" s="36"/>
      <c r="H27" s="36"/>
      <c r="I27" s="37"/>
      <c r="J27" s="36"/>
      <c r="K27" s="36"/>
      <c r="L27" s="36"/>
      <c r="M27" s="37"/>
      <c r="N27" s="38"/>
      <c r="O27" s="39"/>
      <c r="P27" s="40"/>
      <c r="Q27" s="39"/>
      <c r="R27" s="41"/>
      <c r="S27" s="41"/>
      <c r="T27" s="41"/>
      <c r="U27" s="42"/>
      <c r="V27" s="43"/>
      <c r="W27" s="43"/>
      <c r="X27" s="40"/>
      <c r="Y27" s="84">
        <f>+Y26+Y24+Y20+Y19+Y18+Y17+Y16</f>
        <v>4.0545376779014208E-2</v>
      </c>
      <c r="Z27" s="84">
        <f>+Z26+Z24+Z20+Z19+Z18+Z17+Z16</f>
        <v>4.0126636248192293E-2</v>
      </c>
      <c r="AA27" s="137"/>
      <c r="AB27" s="135"/>
      <c r="AC27" s="147"/>
      <c r="AD27" s="7"/>
    </row>
    <row r="28" spans="3:30" ht="6" customHeight="1">
      <c r="C28" s="130"/>
      <c r="D28" s="44"/>
      <c r="E28" s="44"/>
      <c r="F28" s="44"/>
      <c r="G28" s="44"/>
      <c r="H28" s="44"/>
      <c r="I28" s="45"/>
      <c r="J28" s="44"/>
      <c r="K28" s="44"/>
      <c r="L28" s="44"/>
      <c r="M28" s="45"/>
      <c r="N28" s="46"/>
      <c r="O28" s="45"/>
      <c r="P28" s="46"/>
      <c r="Q28" s="45"/>
      <c r="R28" s="44"/>
      <c r="S28" s="44"/>
      <c r="T28" s="44"/>
      <c r="U28" s="44"/>
      <c r="V28" s="44"/>
      <c r="W28" s="44"/>
      <c r="X28" s="44"/>
      <c r="Y28" s="75"/>
      <c r="Z28" s="75"/>
      <c r="AA28" s="137"/>
      <c r="AB28" s="140"/>
      <c r="AC28" s="147"/>
      <c r="AD28" s="7"/>
    </row>
    <row r="29" spans="3:30">
      <c r="C29" s="119"/>
      <c r="D29" s="7"/>
      <c r="E29" s="7"/>
      <c r="F29" s="7"/>
      <c r="G29" s="7"/>
      <c r="H29" s="7"/>
      <c r="I29" s="5"/>
      <c r="J29" s="7"/>
      <c r="K29" s="7"/>
      <c r="L29" s="7"/>
      <c r="M29" s="5"/>
      <c r="N29" s="1"/>
      <c r="O29" s="5"/>
      <c r="P29" s="1"/>
      <c r="Q29" s="5"/>
      <c r="R29" s="7"/>
      <c r="S29" s="7"/>
      <c r="T29" s="7"/>
      <c r="U29" s="7"/>
      <c r="V29" s="7"/>
      <c r="W29" s="7"/>
      <c r="X29" s="7"/>
      <c r="Y29" s="75"/>
      <c r="Z29" s="75"/>
      <c r="AB29" s="140"/>
      <c r="AC29" s="147"/>
      <c r="AD29" s="7"/>
    </row>
    <row r="30" spans="3:30" s="6" customFormat="1" ht="30" customHeight="1">
      <c r="C30" s="118"/>
      <c r="D30" s="153" t="s">
        <v>29</v>
      </c>
      <c r="E30" s="153"/>
      <c r="F30" s="153"/>
      <c r="G30" s="153"/>
      <c r="H30" s="153" t="s">
        <v>30</v>
      </c>
      <c r="I30" s="153"/>
      <c r="J30" s="153"/>
      <c r="K30" s="153"/>
      <c r="L30" s="153"/>
      <c r="M30" s="153" t="s">
        <v>31</v>
      </c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8"/>
      <c r="Z30" s="8"/>
      <c r="AB30" s="139"/>
      <c r="AC30" s="146"/>
      <c r="AD30" s="8"/>
    </row>
    <row r="31" spans="3:30">
      <c r="C31" s="117"/>
      <c r="D31" s="1"/>
      <c r="E31" s="7"/>
      <c r="F31" s="7"/>
      <c r="G31" s="7"/>
      <c r="H31" s="7"/>
      <c r="I31" s="5"/>
      <c r="J31" s="7"/>
      <c r="K31" s="7"/>
      <c r="L31" s="7"/>
      <c r="M31" s="5"/>
      <c r="N31" s="1"/>
      <c r="O31" s="5"/>
      <c r="P31" s="1"/>
      <c r="Q31" s="5"/>
      <c r="R31" s="7"/>
      <c r="S31" s="7"/>
      <c r="T31" s="7"/>
      <c r="U31" s="7"/>
      <c r="V31" s="7"/>
      <c r="W31" s="7"/>
      <c r="X31" s="7"/>
      <c r="Y31" s="7"/>
      <c r="Z31" s="7"/>
      <c r="AB31" s="140"/>
      <c r="AC31" s="147"/>
      <c r="AD31" s="7"/>
    </row>
    <row r="32" spans="3:30">
      <c r="C32" s="119"/>
      <c r="D32" s="7"/>
      <c r="E32" s="7"/>
      <c r="F32" s="7"/>
      <c r="G32" s="7"/>
      <c r="H32" s="7"/>
      <c r="I32" s="5"/>
      <c r="J32" s="7"/>
      <c r="K32" s="7"/>
      <c r="L32" s="7"/>
      <c r="M32" s="5"/>
      <c r="N32" s="1"/>
      <c r="O32" s="5"/>
      <c r="P32" s="1"/>
      <c r="Q32" s="5"/>
      <c r="R32" s="7"/>
      <c r="S32" s="7"/>
      <c r="T32" s="7"/>
      <c r="U32" s="7"/>
      <c r="V32" s="7"/>
      <c r="W32" s="7"/>
      <c r="X32" s="7"/>
      <c r="Y32" s="7"/>
      <c r="Z32" s="7"/>
      <c r="AB32" s="140"/>
      <c r="AC32" s="147"/>
      <c r="AD32" s="7"/>
    </row>
    <row r="33" spans="3:30">
      <c r="C33" s="119"/>
      <c r="D33" s="7"/>
      <c r="E33" s="7"/>
      <c r="F33" s="7"/>
      <c r="G33" s="7"/>
      <c r="H33" s="7"/>
      <c r="I33" s="5"/>
      <c r="J33" s="7"/>
      <c r="K33" s="7"/>
      <c r="L33" s="7"/>
      <c r="M33" s="5"/>
      <c r="N33" s="1"/>
      <c r="O33" s="5"/>
      <c r="P33" s="1"/>
      <c r="Q33" s="5"/>
      <c r="R33" s="7"/>
      <c r="S33" s="7"/>
      <c r="T33" s="7"/>
      <c r="U33" s="47"/>
      <c r="V33" s="47"/>
      <c r="W33" s="47"/>
      <c r="X33" s="47"/>
      <c r="Y33" s="7"/>
      <c r="Z33" s="7"/>
      <c r="AB33" s="140"/>
      <c r="AC33" s="147"/>
      <c r="AD33" s="7"/>
    </row>
    <row r="34" spans="3:30">
      <c r="C34" s="119"/>
      <c r="D34" s="7"/>
      <c r="E34" s="7"/>
      <c r="F34" s="7"/>
      <c r="G34" s="7"/>
      <c r="H34" s="7"/>
      <c r="I34" s="5"/>
      <c r="J34" s="7"/>
      <c r="K34" s="7"/>
      <c r="L34" s="7"/>
      <c r="M34" s="5"/>
      <c r="N34" s="1"/>
      <c r="O34" s="5"/>
      <c r="P34" s="1"/>
      <c r="Q34" s="5"/>
      <c r="R34" s="7"/>
      <c r="S34" s="7"/>
      <c r="T34" s="48"/>
      <c r="U34" s="47"/>
      <c r="V34" s="47"/>
      <c r="W34" s="47"/>
      <c r="X34" s="47"/>
      <c r="Y34" s="7"/>
      <c r="Z34" s="7"/>
      <c r="AB34" s="140"/>
      <c r="AC34" s="147"/>
      <c r="AD34" s="7"/>
    </row>
    <row r="35" spans="3:30">
      <c r="C35" s="131"/>
      <c r="D35" s="49"/>
      <c r="E35" s="49"/>
      <c r="F35" s="49"/>
      <c r="G35" s="50"/>
      <c r="H35" s="50"/>
      <c r="I35" s="51"/>
      <c r="J35" s="50"/>
      <c r="K35" s="50"/>
      <c r="L35" s="50"/>
      <c r="M35" s="51"/>
      <c r="N35" s="52"/>
      <c r="O35" s="11"/>
      <c r="P35" s="4"/>
      <c r="Q35" s="11"/>
      <c r="R35" s="9"/>
      <c r="S35" s="9"/>
      <c r="T35" s="5"/>
      <c r="U35" s="47"/>
      <c r="V35" s="47"/>
      <c r="W35" s="47"/>
      <c r="X35" s="47"/>
      <c r="Y35" s="7"/>
      <c r="Z35" s="7"/>
      <c r="AB35" s="140"/>
      <c r="AC35" s="147"/>
      <c r="AD35" s="7"/>
    </row>
    <row r="36" spans="3:30">
      <c r="C36" s="131"/>
      <c r="D36" s="49"/>
      <c r="E36" s="49"/>
      <c r="F36" s="49"/>
      <c r="G36" s="50"/>
      <c r="H36" s="50"/>
      <c r="I36" s="51"/>
      <c r="J36" s="50"/>
      <c r="K36" s="50"/>
      <c r="L36" s="50"/>
      <c r="M36" s="51"/>
      <c r="N36" s="1"/>
      <c r="O36" s="11"/>
      <c r="P36" s="1"/>
      <c r="Q36" s="5"/>
      <c r="R36" s="9"/>
      <c r="S36" s="9"/>
      <c r="T36" s="154"/>
      <c r="U36" s="47"/>
      <c r="V36" s="47"/>
      <c r="W36" s="47"/>
      <c r="X36" s="47"/>
      <c r="Y36" s="7"/>
      <c r="Z36" s="7"/>
      <c r="AB36" s="140"/>
      <c r="AC36" s="147"/>
      <c r="AD36" s="7"/>
    </row>
    <row r="37" spans="3:30">
      <c r="C37" s="131"/>
      <c r="D37" s="49"/>
      <c r="E37" s="49"/>
      <c r="F37" s="49"/>
      <c r="G37" s="50"/>
      <c r="H37" s="50"/>
      <c r="I37" s="51"/>
      <c r="J37" s="50"/>
      <c r="K37" s="50"/>
      <c r="L37" s="50"/>
      <c r="M37" s="51"/>
      <c r="N37" s="52"/>
      <c r="O37" s="11"/>
      <c r="P37" s="4"/>
      <c r="Q37" s="11"/>
      <c r="R37" s="9"/>
      <c r="S37" s="9"/>
      <c r="T37" s="154"/>
      <c r="U37" s="47"/>
      <c r="V37" s="47"/>
      <c r="W37" s="47"/>
      <c r="X37" s="47"/>
      <c r="Y37" s="7"/>
      <c r="Z37" s="7"/>
      <c r="AB37" s="140"/>
      <c r="AC37" s="147"/>
      <c r="AD37" s="7"/>
    </row>
    <row r="38" spans="3:30">
      <c r="C38" s="131"/>
      <c r="D38" s="49"/>
      <c r="E38" s="49"/>
      <c r="F38" s="49"/>
      <c r="G38" s="50"/>
      <c r="H38" s="50"/>
      <c r="I38" s="51"/>
      <c r="J38" s="50"/>
      <c r="K38" s="50"/>
      <c r="L38" s="50"/>
      <c r="M38" s="51"/>
      <c r="N38" s="52"/>
      <c r="O38" s="11"/>
      <c r="P38" s="4"/>
      <c r="Q38" s="11"/>
      <c r="R38" s="9"/>
      <c r="S38" s="9"/>
      <c r="T38" s="154"/>
      <c r="U38" s="47"/>
      <c r="V38" s="47"/>
      <c r="W38" s="47"/>
      <c r="X38" s="47"/>
      <c r="Y38" s="7"/>
      <c r="Z38" s="7"/>
      <c r="AB38" s="140"/>
      <c r="AC38" s="147"/>
      <c r="AD38" s="7"/>
    </row>
    <row r="39" spans="3:30">
      <c r="C39" s="131"/>
      <c r="D39" s="49"/>
      <c r="E39" s="49"/>
      <c r="F39" s="49"/>
      <c r="G39" s="50"/>
      <c r="H39" s="50"/>
      <c r="I39" s="51"/>
      <c r="J39" s="50"/>
      <c r="K39" s="50"/>
      <c r="L39" s="50"/>
      <c r="M39" s="51"/>
      <c r="N39" s="52"/>
      <c r="O39" s="11"/>
      <c r="P39" s="4"/>
      <c r="Q39" s="11"/>
      <c r="R39" s="9"/>
      <c r="S39" s="9"/>
      <c r="T39" s="53"/>
      <c r="U39" s="54"/>
      <c r="V39" s="54"/>
      <c r="W39" s="54"/>
      <c r="X39" s="54"/>
      <c r="Y39" s="7"/>
      <c r="Z39" s="7"/>
      <c r="AB39" s="140"/>
      <c r="AC39" s="147"/>
      <c r="AD39" s="7"/>
    </row>
    <row r="40" spans="3:30">
      <c r="C40" s="131"/>
      <c r="D40" s="49"/>
      <c r="E40" s="49"/>
      <c r="F40" s="49"/>
      <c r="G40" s="50"/>
      <c r="H40" s="50"/>
      <c r="I40" s="51"/>
      <c r="J40" s="50"/>
      <c r="K40" s="50"/>
      <c r="L40" s="50"/>
      <c r="M40" s="51"/>
      <c r="N40" s="52"/>
      <c r="O40" s="11"/>
      <c r="P40" s="4"/>
      <c r="Q40" s="11"/>
      <c r="R40" s="9"/>
      <c r="S40" s="9"/>
      <c r="T40" s="48"/>
      <c r="U40" s="54"/>
      <c r="V40" s="54"/>
      <c r="W40" s="54"/>
      <c r="X40" s="54"/>
      <c r="Y40" s="7"/>
      <c r="Z40" s="7"/>
      <c r="AB40" s="140"/>
      <c r="AC40" s="147"/>
      <c r="AD40" s="7"/>
    </row>
    <row r="41" spans="3:30">
      <c r="C41" s="131"/>
      <c r="D41" s="49"/>
      <c r="E41" s="49"/>
      <c r="F41" s="49"/>
      <c r="G41" s="50"/>
      <c r="H41" s="50"/>
      <c r="I41" s="51"/>
      <c r="J41" s="50"/>
      <c r="K41" s="50"/>
      <c r="L41" s="50"/>
      <c r="M41" s="51"/>
      <c r="N41" s="52"/>
      <c r="O41" s="11"/>
      <c r="P41" s="4"/>
      <c r="Q41" s="11"/>
      <c r="R41" s="9"/>
      <c r="S41" s="9"/>
      <c r="T41" s="5"/>
      <c r="U41" s="54"/>
      <c r="V41" s="54"/>
      <c r="W41" s="54"/>
      <c r="X41" s="54"/>
      <c r="Y41" s="7"/>
      <c r="Z41" s="7"/>
      <c r="AB41" s="140"/>
      <c r="AC41" s="147"/>
      <c r="AD41" s="7"/>
    </row>
    <row r="42" spans="3:30">
      <c r="C42" s="131"/>
      <c r="D42" s="49"/>
      <c r="E42" s="49"/>
      <c r="F42" s="49"/>
      <c r="G42" s="50"/>
      <c r="H42" s="50"/>
      <c r="I42" s="51"/>
      <c r="J42" s="50"/>
      <c r="K42" s="50"/>
      <c r="L42" s="50"/>
      <c r="M42" s="51"/>
      <c r="N42" s="52"/>
      <c r="O42" s="11"/>
      <c r="P42" s="4"/>
      <c r="Q42" s="11"/>
      <c r="R42" s="9"/>
      <c r="S42" s="9"/>
      <c r="T42" s="5"/>
      <c r="U42" s="47"/>
      <c r="V42" s="47"/>
      <c r="W42" s="47"/>
      <c r="X42" s="47"/>
      <c r="Y42" s="7"/>
      <c r="Z42" s="7"/>
      <c r="AB42" s="140"/>
      <c r="AC42" s="147"/>
      <c r="AD42" s="7"/>
    </row>
    <row r="43" spans="3:30">
      <c r="C43" s="131"/>
      <c r="D43" s="49"/>
      <c r="E43" s="49"/>
      <c r="F43" s="49"/>
      <c r="G43" s="50"/>
      <c r="H43" s="50"/>
      <c r="I43" s="51"/>
      <c r="J43" s="50"/>
      <c r="K43" s="50"/>
      <c r="L43" s="50"/>
      <c r="M43" s="51"/>
      <c r="N43" s="52"/>
      <c r="O43" s="11"/>
      <c r="P43" s="4"/>
      <c r="Q43" s="11"/>
      <c r="R43" s="9"/>
      <c r="S43" s="9"/>
      <c r="T43" s="53"/>
      <c r="U43" s="47"/>
      <c r="V43" s="47"/>
      <c r="W43" s="47"/>
      <c r="X43" s="47"/>
      <c r="Y43" s="7"/>
      <c r="Z43" s="7"/>
      <c r="AB43" s="140"/>
      <c r="AC43" s="147"/>
      <c r="AD43" s="7"/>
    </row>
    <row r="44" spans="3:30">
      <c r="C44" s="131"/>
      <c r="D44" s="49"/>
      <c r="E44" s="49"/>
      <c r="F44" s="49"/>
      <c r="G44" s="50"/>
      <c r="H44" s="50"/>
      <c r="I44" s="51"/>
      <c r="J44" s="50"/>
      <c r="K44" s="50"/>
      <c r="L44" s="50"/>
      <c r="M44" s="51"/>
      <c r="N44" s="52"/>
      <c r="O44" s="11"/>
      <c r="P44" s="4"/>
      <c r="Q44" s="11"/>
      <c r="R44" s="9"/>
      <c r="S44" s="9"/>
      <c r="T44" s="53"/>
      <c r="U44" s="47"/>
      <c r="V44" s="47"/>
      <c r="W44" s="47"/>
      <c r="X44" s="47"/>
      <c r="Y44" s="7"/>
      <c r="Z44" s="7"/>
      <c r="AB44" s="140"/>
      <c r="AC44" s="147"/>
      <c r="AD44" s="7"/>
    </row>
    <row r="45" spans="3:30">
      <c r="C45" s="131"/>
      <c r="D45" s="49"/>
      <c r="E45" s="49"/>
      <c r="F45" s="49"/>
      <c r="G45" s="50"/>
      <c r="H45" s="50"/>
      <c r="I45" s="51"/>
      <c r="J45" s="50"/>
      <c r="K45" s="50"/>
      <c r="L45" s="50"/>
      <c r="M45" s="51"/>
      <c r="N45" s="52"/>
      <c r="O45" s="11"/>
      <c r="P45" s="4"/>
      <c r="Q45" s="11"/>
      <c r="R45" s="9"/>
      <c r="S45" s="9"/>
      <c r="T45" s="53"/>
      <c r="U45" s="54"/>
      <c r="V45" s="54"/>
      <c r="W45" s="54"/>
      <c r="X45" s="54"/>
      <c r="Y45" s="7"/>
      <c r="Z45" s="7"/>
      <c r="AB45" s="140"/>
      <c r="AC45" s="147"/>
      <c r="AD45" s="7"/>
    </row>
    <row r="46" spans="3:30">
      <c r="C46" s="119"/>
      <c r="D46" s="7"/>
      <c r="E46" s="7"/>
      <c r="F46" s="7"/>
      <c r="G46" s="7"/>
      <c r="H46" s="7"/>
      <c r="I46" s="5"/>
      <c r="J46" s="7"/>
      <c r="K46" s="7"/>
      <c r="L46" s="7"/>
      <c r="M46" s="5"/>
      <c r="N46" s="1"/>
      <c r="O46" s="5"/>
      <c r="P46" s="1"/>
      <c r="Q46" s="5"/>
      <c r="R46" s="7"/>
      <c r="S46" s="7"/>
      <c r="T46" s="53"/>
      <c r="U46" s="54"/>
      <c r="V46" s="54"/>
      <c r="W46" s="54"/>
      <c r="X46" s="54"/>
      <c r="Y46" s="7"/>
      <c r="Z46" s="7"/>
      <c r="AB46" s="140"/>
      <c r="AC46" s="147"/>
      <c r="AD46" s="7"/>
    </row>
    <row r="47" spans="3:30">
      <c r="C47" s="119"/>
      <c r="D47" s="7"/>
      <c r="E47" s="7"/>
      <c r="F47" s="7"/>
      <c r="G47" s="7"/>
      <c r="H47" s="7"/>
      <c r="I47" s="5"/>
      <c r="J47" s="7"/>
      <c r="K47" s="7"/>
      <c r="L47" s="7"/>
      <c r="M47" s="5"/>
      <c r="N47" s="1"/>
      <c r="O47" s="5"/>
      <c r="P47" s="1"/>
      <c r="Q47" s="5"/>
      <c r="R47" s="7"/>
      <c r="S47" s="7"/>
      <c r="T47" s="5"/>
      <c r="U47" s="54"/>
      <c r="V47" s="54"/>
      <c r="W47" s="54"/>
      <c r="X47" s="54"/>
      <c r="Y47" s="7"/>
      <c r="Z47" s="7"/>
      <c r="AB47" s="140"/>
      <c r="AC47" s="147"/>
      <c r="AD47" s="7"/>
    </row>
    <row r="48" spans="3:30">
      <c r="C48" s="119"/>
      <c r="D48" s="7"/>
      <c r="E48" s="7"/>
      <c r="F48" s="7"/>
      <c r="G48" s="7"/>
      <c r="H48" s="7"/>
      <c r="I48" s="5"/>
      <c r="J48" s="7"/>
      <c r="K48" s="7"/>
      <c r="L48" s="7"/>
      <c r="M48" s="5"/>
      <c r="N48" s="1"/>
      <c r="O48" s="5"/>
      <c r="P48" s="1"/>
      <c r="Q48" s="5"/>
      <c r="R48" s="7"/>
      <c r="S48" s="7"/>
      <c r="T48" s="5"/>
      <c r="U48" s="54"/>
      <c r="V48" s="54"/>
      <c r="W48" s="54"/>
      <c r="X48" s="54"/>
      <c r="Y48" s="7"/>
      <c r="Z48" s="7"/>
      <c r="AB48" s="140"/>
      <c r="AC48" s="147"/>
      <c r="AD48" s="7"/>
    </row>
    <row r="49" spans="3:30">
      <c r="C49" s="119"/>
      <c r="D49" s="7"/>
      <c r="E49" s="7"/>
      <c r="F49" s="7"/>
      <c r="G49" s="7"/>
      <c r="H49" s="7"/>
      <c r="I49" s="5"/>
      <c r="J49" s="7"/>
      <c r="K49" s="7"/>
      <c r="L49" s="7"/>
      <c r="M49" s="5"/>
      <c r="N49" s="1"/>
      <c r="O49" s="5"/>
      <c r="P49" s="1"/>
      <c r="Q49" s="5"/>
      <c r="R49" s="7"/>
      <c r="S49" s="7"/>
      <c r="T49" s="5"/>
      <c r="U49" s="54"/>
      <c r="V49" s="54"/>
      <c r="W49" s="54"/>
      <c r="X49" s="54"/>
      <c r="Y49" s="7"/>
      <c r="Z49" s="7"/>
      <c r="AB49" s="140"/>
      <c r="AC49" s="147"/>
      <c r="AD49" s="7"/>
    </row>
    <row r="50" spans="3:30">
      <c r="C50" s="119"/>
      <c r="D50" s="7"/>
      <c r="E50" s="7"/>
      <c r="F50" s="7"/>
      <c r="G50" s="7"/>
      <c r="H50" s="7"/>
      <c r="I50" s="5"/>
      <c r="J50" s="7"/>
      <c r="K50" s="7"/>
      <c r="L50" s="7"/>
      <c r="M50" s="5"/>
      <c r="N50" s="1"/>
      <c r="O50" s="5"/>
      <c r="P50" s="1"/>
      <c r="Q50" s="5"/>
      <c r="R50" s="7"/>
      <c r="S50" s="7"/>
      <c r="T50" s="5"/>
      <c r="U50" s="54"/>
      <c r="V50" s="54"/>
      <c r="W50" s="54"/>
      <c r="X50" s="54"/>
      <c r="Y50" s="7"/>
      <c r="Z50" s="7"/>
      <c r="AB50" s="140"/>
      <c r="AC50" s="147"/>
      <c r="AD50" s="7"/>
    </row>
    <row r="51" spans="3:30">
      <c r="C51" s="119"/>
      <c r="D51" s="7"/>
      <c r="E51" s="7"/>
      <c r="F51" s="7"/>
      <c r="G51" s="7"/>
      <c r="H51" s="7"/>
      <c r="I51" s="5"/>
      <c r="J51" s="7"/>
      <c r="K51" s="7"/>
      <c r="L51" s="7"/>
      <c r="M51" s="5"/>
      <c r="N51" s="1"/>
      <c r="O51" s="5"/>
      <c r="P51" s="1"/>
      <c r="Q51" s="5"/>
      <c r="R51" s="7"/>
      <c r="S51" s="7"/>
      <c r="T51" s="5"/>
      <c r="U51" s="54"/>
      <c r="V51" s="54"/>
      <c r="W51" s="54"/>
      <c r="X51" s="54"/>
      <c r="Y51" s="7"/>
      <c r="Z51" s="7"/>
      <c r="AB51" s="140"/>
      <c r="AC51" s="147"/>
      <c r="AD51" s="7"/>
    </row>
    <row r="52" spans="3:30">
      <c r="C52" s="119"/>
      <c r="D52" s="7"/>
      <c r="E52" s="7"/>
      <c r="F52" s="7"/>
      <c r="G52" s="7"/>
      <c r="H52" s="7"/>
      <c r="I52" s="5"/>
      <c r="J52" s="7"/>
      <c r="K52" s="7"/>
      <c r="L52" s="7"/>
      <c r="M52" s="5"/>
      <c r="N52" s="1"/>
      <c r="O52" s="5"/>
      <c r="P52" s="1"/>
      <c r="Q52" s="5"/>
      <c r="R52" s="7"/>
      <c r="S52" s="7"/>
      <c r="T52" s="5"/>
      <c r="U52" s="54"/>
      <c r="V52" s="54"/>
      <c r="W52" s="54"/>
      <c r="X52" s="54"/>
      <c r="Y52" s="7"/>
      <c r="Z52" s="7"/>
      <c r="AB52" s="140"/>
      <c r="AC52" s="147"/>
      <c r="AD52" s="7"/>
    </row>
    <row r="53" spans="3:30">
      <c r="C53" s="119"/>
      <c r="D53" s="7"/>
      <c r="E53" s="7"/>
      <c r="F53" s="7"/>
      <c r="G53" s="7"/>
      <c r="H53" s="7"/>
      <c r="I53" s="5"/>
      <c r="J53" s="7"/>
      <c r="K53" s="7"/>
      <c r="L53" s="7"/>
      <c r="M53" s="5"/>
      <c r="N53" s="1"/>
      <c r="O53" s="5"/>
      <c r="P53" s="1"/>
      <c r="Q53" s="5"/>
      <c r="R53" s="7"/>
      <c r="S53" s="7"/>
      <c r="T53" s="5"/>
      <c r="U53" s="54"/>
      <c r="V53" s="54"/>
      <c r="W53" s="54"/>
      <c r="X53" s="54"/>
      <c r="Y53" s="7"/>
      <c r="Z53" s="7"/>
      <c r="AB53" s="140"/>
      <c r="AC53" s="147"/>
      <c r="AD53" s="7"/>
    </row>
    <row r="54" spans="3:30">
      <c r="C54" s="119"/>
      <c r="D54" s="7"/>
      <c r="E54" s="7"/>
      <c r="F54" s="7"/>
      <c r="G54" s="7"/>
      <c r="H54" s="7"/>
      <c r="I54" s="5"/>
      <c r="J54" s="7"/>
      <c r="K54" s="7"/>
      <c r="L54" s="7"/>
      <c r="M54" s="5"/>
      <c r="N54" s="1"/>
      <c r="O54" s="5"/>
      <c r="P54" s="1"/>
      <c r="Q54" s="5"/>
      <c r="R54" s="7"/>
      <c r="S54" s="7"/>
      <c r="T54" s="5"/>
      <c r="U54" s="54"/>
      <c r="V54" s="54"/>
      <c r="W54" s="54"/>
      <c r="X54" s="54"/>
      <c r="Y54" s="7"/>
      <c r="Z54" s="7"/>
      <c r="AB54" s="140"/>
      <c r="AC54" s="147"/>
      <c r="AD54" s="7"/>
    </row>
    <row r="55" spans="3:30" s="6" customFormat="1" ht="45" customHeight="1">
      <c r="C55" s="132"/>
      <c r="D55" s="55" t="s">
        <v>47</v>
      </c>
      <c r="E55" s="55"/>
      <c r="F55" s="55"/>
      <c r="G55" s="55"/>
      <c r="H55" s="55"/>
      <c r="I55" s="55"/>
      <c r="J55" s="55"/>
      <c r="K55" s="163" t="s">
        <v>46</v>
      </c>
      <c r="L55" s="163"/>
      <c r="M55" s="163"/>
      <c r="N55" s="111"/>
      <c r="O55" s="163" t="s">
        <v>48</v>
      </c>
      <c r="P55" s="163"/>
      <c r="Q55" s="163"/>
      <c r="R55" s="163"/>
      <c r="S55" s="163"/>
      <c r="T55" s="163" t="s">
        <v>49</v>
      </c>
      <c r="U55" s="163"/>
      <c r="V55" s="163"/>
      <c r="W55" s="163"/>
      <c r="X55" s="163"/>
      <c r="Y55" s="8"/>
      <c r="Z55" s="8"/>
      <c r="AB55" s="139"/>
      <c r="AC55" s="146"/>
      <c r="AD55" s="8"/>
    </row>
    <row r="56" spans="3:30">
      <c r="C56" s="119"/>
      <c r="D56" s="7"/>
      <c r="E56" s="7"/>
      <c r="F56" s="7"/>
      <c r="G56" s="7"/>
      <c r="H56" s="7"/>
      <c r="I56" s="5"/>
      <c r="J56" s="7"/>
      <c r="K56" s="7"/>
      <c r="L56" s="7"/>
      <c r="M56" s="5"/>
      <c r="N56" s="86"/>
      <c r="O56" s="5"/>
      <c r="P56" s="1"/>
      <c r="Q56" s="5"/>
      <c r="R56" s="7"/>
      <c r="S56" s="7"/>
      <c r="T56" s="7"/>
      <c r="U56" s="7"/>
      <c r="V56" s="7"/>
      <c r="W56" s="7"/>
      <c r="X56" s="7"/>
      <c r="Y56" s="7"/>
      <c r="Z56" s="7"/>
      <c r="AB56" s="140"/>
      <c r="AC56" s="147"/>
      <c r="AD56" s="7"/>
    </row>
    <row r="57" spans="3:30">
      <c r="C57" s="119"/>
      <c r="D57" s="56"/>
      <c r="E57" s="56"/>
      <c r="F57" s="56"/>
      <c r="G57" s="56"/>
      <c r="H57" s="56"/>
      <c r="I57" s="57"/>
      <c r="J57" s="56"/>
      <c r="K57" s="56"/>
      <c r="L57" s="56"/>
      <c r="M57" s="57"/>
      <c r="N57" s="57"/>
      <c r="O57" s="5"/>
      <c r="P57" s="1"/>
      <c r="Q57" s="5"/>
      <c r="R57" s="7"/>
      <c r="S57" s="7"/>
      <c r="T57" s="7"/>
      <c r="U57" s="7"/>
      <c r="V57" s="7"/>
      <c r="W57" s="7"/>
      <c r="X57" s="7"/>
      <c r="Y57" s="7"/>
      <c r="Z57" s="7"/>
      <c r="AB57" s="140"/>
      <c r="AC57" s="147"/>
      <c r="AD57" s="7"/>
    </row>
    <row r="58" spans="3:30" ht="14.25">
      <c r="C58" s="134"/>
      <c r="D58" s="162"/>
      <c r="E58" s="162"/>
      <c r="F58" s="162"/>
      <c r="G58" s="7"/>
      <c r="H58" s="7"/>
      <c r="I58" s="5"/>
      <c r="J58" s="7"/>
      <c r="K58" s="7"/>
      <c r="L58" s="7"/>
      <c r="M58" s="85"/>
      <c r="N58" s="85"/>
      <c r="O58" s="5"/>
      <c r="P58" s="1"/>
      <c r="Q58" s="5"/>
      <c r="R58" s="7"/>
      <c r="S58" s="7"/>
      <c r="T58" s="7"/>
      <c r="U58" s="7"/>
      <c r="V58" s="7"/>
      <c r="W58" s="7"/>
      <c r="X58" s="7"/>
      <c r="Y58" s="7"/>
      <c r="Z58" s="7"/>
      <c r="AB58" s="140"/>
      <c r="AC58" s="147"/>
      <c r="AD58" s="7"/>
    </row>
    <row r="59" spans="3:30" ht="15">
      <c r="C59" s="119"/>
      <c r="D59" s="86"/>
      <c r="E59" s="1"/>
      <c r="F59" s="5"/>
      <c r="G59" s="7"/>
      <c r="H59" s="7"/>
      <c r="I59" s="7"/>
      <c r="J59" s="5"/>
      <c r="K59" s="1"/>
      <c r="L59" s="5"/>
      <c r="M59" s="86"/>
      <c r="N59" s="86"/>
      <c r="O59" s="7"/>
      <c r="P59" s="7"/>
      <c r="Q59" s="7"/>
      <c r="R59" s="7"/>
      <c r="S59" s="58"/>
      <c r="T59" s="59"/>
      <c r="U59" s="7"/>
      <c r="V59" s="7"/>
      <c r="W59" s="7"/>
      <c r="X59" s="7"/>
      <c r="Y59" s="7"/>
      <c r="Z59" s="7"/>
      <c r="AB59" s="140"/>
      <c r="AC59" s="147"/>
      <c r="AD59" s="7"/>
    </row>
    <row r="60" spans="3:30" ht="15">
      <c r="C60" s="119"/>
      <c r="D60" s="86"/>
      <c r="E60" s="1"/>
      <c r="F60" s="5"/>
      <c r="G60" s="7"/>
      <c r="H60" s="7"/>
      <c r="I60" s="7"/>
      <c r="J60" s="5"/>
      <c r="K60" s="1"/>
      <c r="L60" s="5"/>
      <c r="M60" s="86"/>
      <c r="N60" s="86"/>
      <c r="O60" s="7"/>
      <c r="P60" s="7"/>
      <c r="Q60" s="7"/>
      <c r="R60" s="7"/>
      <c r="S60" s="58"/>
      <c r="T60" s="59"/>
      <c r="U60" s="7"/>
      <c r="V60" s="7"/>
      <c r="W60" s="7"/>
      <c r="X60" s="7"/>
      <c r="Y60" s="7"/>
      <c r="Z60" s="7"/>
      <c r="AB60" s="140"/>
      <c r="AC60" s="147"/>
      <c r="AD60" s="7"/>
    </row>
    <row r="61" spans="3:30">
      <c r="C61" s="119"/>
      <c r="D61" s="86"/>
      <c r="E61" s="1"/>
      <c r="F61" s="5"/>
      <c r="G61" s="7"/>
      <c r="H61" s="7"/>
      <c r="I61" s="7"/>
      <c r="J61" s="5"/>
      <c r="K61" s="1"/>
      <c r="L61" s="5"/>
      <c r="M61" s="86"/>
      <c r="N61" s="86"/>
      <c r="O61" s="7"/>
      <c r="P61" s="7"/>
      <c r="Q61" s="7"/>
      <c r="R61" s="7"/>
      <c r="S61" s="60"/>
      <c r="T61" s="60"/>
      <c r="U61" s="7"/>
      <c r="V61" s="7"/>
      <c r="W61" s="7"/>
      <c r="X61" s="7"/>
      <c r="Y61" s="7"/>
      <c r="Z61" s="7"/>
      <c r="AB61" s="140"/>
      <c r="AC61" s="147"/>
      <c r="AD61" s="7"/>
    </row>
    <row r="62" spans="3:30">
      <c r="C62" s="119"/>
      <c r="D62" s="86"/>
      <c r="E62" s="1"/>
      <c r="F62" s="5"/>
      <c r="G62" s="7"/>
      <c r="H62" s="7"/>
      <c r="I62" s="7"/>
      <c r="J62" s="5"/>
      <c r="K62" s="1"/>
      <c r="L62" s="5"/>
      <c r="M62" s="86"/>
      <c r="N62" s="86"/>
      <c r="O62" s="7"/>
      <c r="P62" s="7"/>
      <c r="Q62" s="7"/>
      <c r="R62" s="7"/>
      <c r="S62" s="60"/>
      <c r="T62" s="60"/>
      <c r="U62" s="7"/>
      <c r="V62" s="7"/>
      <c r="W62" s="7"/>
      <c r="X62" s="7"/>
      <c r="Y62" s="7"/>
      <c r="Z62" s="7"/>
      <c r="AB62" s="140"/>
      <c r="AC62" s="147"/>
      <c r="AD62" s="7"/>
    </row>
    <row r="63" spans="3:30" ht="20.25">
      <c r="C63" s="119"/>
      <c r="D63" s="86"/>
      <c r="E63" s="1"/>
      <c r="F63" s="5"/>
      <c r="G63" s="7"/>
      <c r="H63" s="7"/>
      <c r="I63" s="7"/>
      <c r="J63" s="5"/>
      <c r="K63" s="1"/>
      <c r="L63" s="5"/>
      <c r="M63" s="86"/>
      <c r="N63" s="86"/>
      <c r="O63" s="7"/>
      <c r="P63" s="7"/>
      <c r="Q63" s="7"/>
      <c r="R63" s="7"/>
      <c r="S63" s="61"/>
      <c r="T63" s="62"/>
      <c r="U63" s="7"/>
      <c r="V63" s="7"/>
      <c r="W63" s="7"/>
      <c r="X63" s="7"/>
      <c r="Y63" s="7"/>
      <c r="Z63" s="7"/>
      <c r="AB63" s="140"/>
      <c r="AC63" s="147"/>
      <c r="AD63" s="7"/>
    </row>
    <row r="64" spans="3:30">
      <c r="C64" s="119"/>
      <c r="D64" s="86"/>
      <c r="E64" s="1"/>
      <c r="F64" s="5"/>
      <c r="G64" s="7"/>
      <c r="H64" s="7"/>
      <c r="I64" s="7"/>
      <c r="J64" s="5"/>
      <c r="K64" s="1"/>
      <c r="L64" s="5"/>
      <c r="M64" s="86"/>
      <c r="N64" s="86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B64" s="140"/>
      <c r="AC64" s="147"/>
      <c r="AD64" s="7"/>
    </row>
    <row r="65" spans="3:30">
      <c r="C65" s="119"/>
      <c r="D65" s="86"/>
      <c r="E65" s="1"/>
      <c r="F65" s="5"/>
      <c r="G65" s="7"/>
      <c r="H65" s="7"/>
      <c r="I65" s="7"/>
      <c r="J65" s="5"/>
      <c r="K65" s="1"/>
      <c r="L65" s="5"/>
      <c r="M65" s="86"/>
      <c r="N65" s="86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B65" s="140"/>
      <c r="AC65" s="147"/>
      <c r="AD65" s="7"/>
    </row>
    <row r="66" spans="3:30">
      <c r="C66" s="119"/>
      <c r="D66" s="86"/>
      <c r="E66" s="1"/>
      <c r="F66" s="5"/>
      <c r="G66" s="7"/>
      <c r="H66" s="7"/>
      <c r="I66" s="7"/>
      <c r="J66" s="5"/>
      <c r="K66" s="1"/>
      <c r="L66" s="5"/>
      <c r="M66" s="86"/>
      <c r="N66" s="86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B66" s="140"/>
      <c r="AC66" s="147"/>
      <c r="AD66" s="7"/>
    </row>
    <row r="67" spans="3:30">
      <c r="C67" s="119"/>
      <c r="D67" s="86"/>
      <c r="E67" s="1"/>
      <c r="F67" s="5"/>
      <c r="G67" s="7"/>
      <c r="H67" s="7"/>
      <c r="I67" s="7"/>
      <c r="J67" s="5"/>
      <c r="K67" s="1"/>
      <c r="L67" s="5"/>
      <c r="M67" s="86"/>
      <c r="N67" s="86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B67" s="140"/>
      <c r="AC67" s="147"/>
      <c r="AD67" s="7"/>
    </row>
    <row r="68" spans="3:30">
      <c r="C68" s="119"/>
      <c r="D68" s="86"/>
      <c r="E68" s="1"/>
      <c r="F68" s="5"/>
      <c r="G68" s="7"/>
      <c r="H68" s="7"/>
      <c r="I68" s="7"/>
      <c r="J68" s="5"/>
      <c r="K68" s="1"/>
      <c r="L68" s="5"/>
      <c r="M68" s="86"/>
      <c r="N68" s="86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B68" s="140"/>
      <c r="AC68" s="147"/>
      <c r="AD68" s="7"/>
    </row>
    <row r="69" spans="3:30">
      <c r="C69" s="119"/>
      <c r="D69" s="86"/>
      <c r="E69" s="1"/>
      <c r="F69" s="5"/>
      <c r="G69" s="7"/>
      <c r="H69" s="7"/>
      <c r="I69" s="7"/>
      <c r="J69" s="5"/>
      <c r="K69" s="1"/>
      <c r="L69" s="5"/>
      <c r="M69" s="86"/>
      <c r="N69" s="86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B69" s="140"/>
      <c r="AC69" s="147"/>
      <c r="AD69" s="7"/>
    </row>
    <row r="70" spans="3:30">
      <c r="C70" s="119"/>
      <c r="D70" s="86"/>
      <c r="E70" s="1"/>
      <c r="F70" s="5"/>
      <c r="G70" s="7"/>
      <c r="H70" s="7"/>
      <c r="I70" s="7"/>
      <c r="J70" s="5"/>
      <c r="K70" s="1"/>
      <c r="L70" s="5"/>
      <c r="M70" s="86"/>
      <c r="N70" s="86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B70" s="140"/>
      <c r="AC70" s="147"/>
      <c r="AD70" s="7"/>
    </row>
    <row r="71" spans="3:30">
      <c r="C71" s="119"/>
      <c r="D71" s="86"/>
      <c r="E71" s="7"/>
      <c r="F71" s="7"/>
      <c r="G71" s="7"/>
      <c r="H71" s="7"/>
      <c r="I71" s="5"/>
      <c r="J71" s="7"/>
      <c r="K71" s="7"/>
      <c r="L71" s="7"/>
      <c r="M71" s="85"/>
      <c r="N71" s="85"/>
      <c r="O71" s="5"/>
      <c r="P71" s="1"/>
      <c r="Q71" s="5"/>
      <c r="R71" s="7"/>
      <c r="S71" s="7"/>
      <c r="T71" s="7"/>
      <c r="U71" s="7"/>
      <c r="V71" s="7"/>
      <c r="W71" s="7"/>
      <c r="X71" s="7"/>
      <c r="Y71" s="7"/>
      <c r="Z71" s="7"/>
      <c r="AB71" s="140"/>
      <c r="AC71" s="147"/>
      <c r="AD71" s="7"/>
    </row>
    <row r="72" spans="3:30">
      <c r="C72" s="119"/>
      <c r="D72" s="86"/>
      <c r="E72" s="7"/>
      <c r="F72" s="7"/>
      <c r="G72" s="7"/>
      <c r="H72" s="7"/>
      <c r="I72" s="5"/>
      <c r="J72" s="7"/>
      <c r="K72" s="7"/>
      <c r="L72" s="7"/>
      <c r="M72" s="85"/>
      <c r="N72" s="85"/>
      <c r="O72" s="5"/>
      <c r="P72" s="1"/>
      <c r="Q72" s="5"/>
      <c r="R72" s="7"/>
      <c r="S72" s="7"/>
      <c r="T72" s="7"/>
      <c r="U72" s="7"/>
      <c r="V72" s="7"/>
      <c r="W72" s="7"/>
      <c r="X72" s="7"/>
      <c r="Y72" s="7"/>
      <c r="Z72" s="7"/>
      <c r="AB72" s="140"/>
      <c r="AC72" s="147"/>
      <c r="AD72" s="7"/>
    </row>
    <row r="73" spans="3:30">
      <c r="C73" s="119"/>
      <c r="D73" s="86"/>
      <c r="E73" s="7"/>
      <c r="F73" s="7"/>
      <c r="G73" s="7"/>
      <c r="H73" s="7"/>
      <c r="I73" s="5"/>
      <c r="J73" s="7"/>
      <c r="K73" s="7"/>
      <c r="L73" s="7"/>
      <c r="M73" s="85"/>
      <c r="N73" s="85"/>
      <c r="O73" s="5"/>
      <c r="P73" s="1"/>
      <c r="Q73" s="5"/>
      <c r="R73" s="7"/>
      <c r="S73" s="7"/>
      <c r="T73" s="7"/>
      <c r="U73" s="7"/>
      <c r="V73" s="7"/>
      <c r="W73" s="7"/>
      <c r="X73" s="7"/>
      <c r="Y73" s="7"/>
      <c r="Z73" s="7"/>
      <c r="AB73" s="140"/>
      <c r="AC73" s="147"/>
      <c r="AD73" s="7"/>
    </row>
    <row r="74" spans="3:30">
      <c r="C74" s="119"/>
      <c r="D74" s="86"/>
      <c r="E74" s="7"/>
      <c r="F74" s="7"/>
      <c r="G74" s="7"/>
      <c r="H74" s="7"/>
      <c r="I74" s="5"/>
      <c r="J74" s="7"/>
      <c r="K74" s="7"/>
      <c r="L74" s="7"/>
      <c r="M74" s="85"/>
      <c r="N74" s="85"/>
      <c r="O74" s="5"/>
      <c r="P74" s="1"/>
      <c r="Q74" s="5"/>
      <c r="R74" s="7"/>
      <c r="S74" s="7"/>
      <c r="T74" s="7"/>
      <c r="U74" s="7"/>
      <c r="V74" s="7"/>
      <c r="W74" s="7"/>
      <c r="X74" s="7"/>
      <c r="Y74" s="7"/>
      <c r="Z74" s="7"/>
      <c r="AB74" s="140"/>
      <c r="AC74" s="147"/>
      <c r="AD74" s="7"/>
    </row>
    <row r="75" spans="3:30">
      <c r="C75" s="119"/>
      <c r="D75" s="86"/>
      <c r="E75" s="7"/>
      <c r="F75" s="7"/>
      <c r="G75" s="7"/>
      <c r="H75" s="7"/>
      <c r="I75" s="5"/>
      <c r="J75" s="7"/>
      <c r="K75" s="7"/>
      <c r="L75" s="7"/>
      <c r="M75" s="85"/>
      <c r="N75" s="85"/>
      <c r="O75" s="5"/>
      <c r="P75" s="1"/>
      <c r="Q75" s="5"/>
      <c r="R75" s="7"/>
      <c r="S75" s="7"/>
      <c r="T75" s="7"/>
      <c r="U75" s="7"/>
      <c r="V75" s="7"/>
      <c r="W75" s="7"/>
      <c r="X75" s="7"/>
      <c r="Y75" s="7"/>
      <c r="Z75" s="7"/>
      <c r="AB75" s="140"/>
      <c r="AC75" s="147"/>
      <c r="AD75" s="7"/>
    </row>
    <row r="76" spans="3:30">
      <c r="C76" s="119"/>
      <c r="D76" s="86"/>
      <c r="E76" s="7"/>
      <c r="F76" s="7"/>
      <c r="G76" s="7"/>
      <c r="H76" s="7"/>
      <c r="I76" s="5"/>
      <c r="J76" s="7"/>
      <c r="K76" s="7"/>
      <c r="L76" s="7"/>
      <c r="M76" s="85"/>
      <c r="N76" s="85"/>
      <c r="O76" s="5"/>
      <c r="P76" s="1"/>
      <c r="Q76" s="5"/>
      <c r="R76" s="7"/>
      <c r="S76" s="7"/>
      <c r="T76" s="7"/>
      <c r="U76" s="7"/>
      <c r="V76" s="7"/>
      <c r="W76" s="7"/>
      <c r="X76" s="7"/>
      <c r="Y76" s="7"/>
      <c r="Z76" s="7"/>
      <c r="AB76" s="140"/>
      <c r="AC76" s="147"/>
      <c r="AD76" s="7"/>
    </row>
    <row r="77" spans="3:30">
      <c r="C77" s="119"/>
      <c r="D77" s="86"/>
      <c r="E77" s="7"/>
      <c r="F77" s="7"/>
      <c r="G77" s="7"/>
      <c r="H77" s="7"/>
      <c r="I77" s="5"/>
      <c r="J77" s="7"/>
      <c r="K77" s="7"/>
      <c r="L77" s="7"/>
      <c r="M77" s="85"/>
      <c r="N77" s="85"/>
      <c r="O77" s="5"/>
      <c r="P77" s="1"/>
      <c r="Q77" s="5"/>
      <c r="R77" s="7"/>
      <c r="S77" s="7"/>
      <c r="T77" s="7"/>
      <c r="U77" s="7"/>
      <c r="V77" s="7"/>
      <c r="W77" s="7"/>
      <c r="X77" s="7"/>
      <c r="Y77" s="7"/>
      <c r="Z77" s="7"/>
      <c r="AB77" s="140"/>
      <c r="AC77" s="147"/>
      <c r="AD77" s="7"/>
    </row>
    <row r="78" spans="3:30" ht="15">
      <c r="C78" s="119"/>
      <c r="D78" s="86"/>
      <c r="E78" s="7"/>
      <c r="F78" s="7"/>
      <c r="G78" s="7"/>
      <c r="H78" s="7"/>
      <c r="I78" s="5"/>
      <c r="J78" s="7"/>
      <c r="K78" s="7"/>
      <c r="L78" s="7"/>
      <c r="M78" s="85"/>
      <c r="N78" s="85"/>
      <c r="O78" s="5"/>
      <c r="P78" s="1"/>
      <c r="Q78" s="5"/>
      <c r="R78" s="1"/>
      <c r="S78" s="63"/>
      <c r="T78" s="1"/>
      <c r="U78" s="64"/>
      <c r="V78" s="65" t="s">
        <v>32</v>
      </c>
      <c r="W78" s="65"/>
      <c r="X78" s="65"/>
      <c r="Y78" s="65"/>
      <c r="Z78" s="65"/>
      <c r="AA78" s="65"/>
      <c r="AB78" s="140"/>
      <c r="AC78" s="147"/>
      <c r="AD78" s="7"/>
    </row>
    <row r="79" spans="3:30" ht="15">
      <c r="C79" s="119"/>
      <c r="D79" s="86"/>
      <c r="E79" s="7"/>
      <c r="F79" s="7"/>
      <c r="G79" s="7"/>
      <c r="H79" s="7"/>
      <c r="I79" s="5"/>
      <c r="J79" s="7"/>
      <c r="K79" s="7"/>
      <c r="L79" s="7"/>
      <c r="M79" s="85"/>
      <c r="N79" s="85"/>
      <c r="O79" s="5"/>
      <c r="P79" s="1"/>
      <c r="Q79" s="5"/>
      <c r="R79" s="1"/>
      <c r="S79" s="63"/>
      <c r="T79" s="1"/>
      <c r="U79" s="66"/>
      <c r="V79" s="65" t="s">
        <v>33</v>
      </c>
      <c r="W79" s="65"/>
      <c r="X79" s="65"/>
      <c r="Y79" s="7"/>
      <c r="Z79" s="7"/>
      <c r="AB79" s="140"/>
      <c r="AC79" s="147"/>
      <c r="AD79" s="7"/>
    </row>
    <row r="80" spans="3:30">
      <c r="C80" s="119"/>
      <c r="D80" s="67"/>
      <c r="E80" s="67"/>
      <c r="F80" s="67"/>
      <c r="G80" s="67"/>
      <c r="H80" s="67"/>
      <c r="I80" s="68"/>
      <c r="J80" s="67"/>
      <c r="K80" s="67"/>
      <c r="L80" s="67"/>
      <c r="M80" s="68"/>
      <c r="N80" s="68"/>
      <c r="O80" s="5"/>
      <c r="P80" s="1"/>
      <c r="Q80" s="5"/>
      <c r="R80" s="7"/>
      <c r="S80" s="7"/>
      <c r="T80" s="7"/>
      <c r="U80" s="7"/>
      <c r="V80" s="7"/>
      <c r="W80" s="7"/>
      <c r="X80" s="7"/>
      <c r="Y80" s="7"/>
      <c r="Z80" s="7"/>
      <c r="AB80" s="140"/>
      <c r="AC80" s="147"/>
      <c r="AD80" s="7"/>
    </row>
    <row r="81" spans="3:30">
      <c r="C81" s="119"/>
      <c r="D81" s="7"/>
      <c r="E81" s="7"/>
      <c r="F81" s="7"/>
      <c r="G81" s="7"/>
      <c r="H81" s="7"/>
      <c r="I81" s="5"/>
      <c r="J81" s="7"/>
      <c r="K81" s="7"/>
      <c r="L81" s="7"/>
      <c r="M81" s="5"/>
      <c r="N81" s="86"/>
      <c r="O81" s="5"/>
      <c r="P81" s="1"/>
      <c r="Q81" s="5"/>
      <c r="R81" s="7"/>
      <c r="S81" s="7"/>
      <c r="T81" s="7"/>
      <c r="U81" s="7"/>
      <c r="V81" s="7"/>
      <c r="W81" s="7"/>
      <c r="X81" s="7"/>
      <c r="Y81" s="7"/>
      <c r="Z81" s="7"/>
      <c r="AB81" s="140"/>
      <c r="AC81" s="147"/>
      <c r="AD81" s="7"/>
    </row>
    <row r="82" spans="3:30" ht="3" customHeight="1">
      <c r="C82" s="130"/>
      <c r="D82" s="69"/>
      <c r="E82" s="69"/>
      <c r="F82" s="69"/>
      <c r="G82" s="69"/>
      <c r="H82" s="69"/>
      <c r="I82" s="70"/>
      <c r="J82" s="69"/>
      <c r="K82" s="69"/>
      <c r="L82" s="69"/>
      <c r="M82" s="70"/>
      <c r="N82" s="71"/>
      <c r="O82" s="70"/>
      <c r="P82" s="71"/>
      <c r="Q82" s="70"/>
      <c r="R82" s="69"/>
      <c r="S82" s="69"/>
      <c r="T82" s="72"/>
      <c r="U82" s="72"/>
      <c r="V82" s="69"/>
      <c r="W82" s="69"/>
      <c r="X82" s="69"/>
      <c r="Y82" s="7"/>
      <c r="Z82" s="7"/>
      <c r="AB82" s="140"/>
      <c r="AC82" s="147"/>
      <c r="AD82" s="7"/>
    </row>
    <row r="83" spans="3:30">
      <c r="C83" s="119"/>
      <c r="D83" s="7"/>
      <c r="E83" s="7"/>
      <c r="F83" s="7"/>
      <c r="G83" s="7"/>
      <c r="H83" s="7"/>
      <c r="I83" s="5"/>
      <c r="J83" s="7"/>
      <c r="K83" s="7"/>
      <c r="L83" s="7"/>
      <c r="M83" s="5"/>
      <c r="N83" s="1"/>
      <c r="O83" s="5"/>
      <c r="P83" s="1"/>
      <c r="Q83" s="5"/>
      <c r="R83" s="7"/>
      <c r="S83" s="7"/>
      <c r="T83" s="7"/>
      <c r="U83" s="7"/>
      <c r="V83" s="7"/>
      <c r="W83" s="7"/>
      <c r="X83" s="7"/>
      <c r="Y83" s="7"/>
      <c r="Z83" s="7"/>
      <c r="AB83" s="140"/>
      <c r="AC83" s="147"/>
      <c r="AD83" s="7"/>
    </row>
    <row r="84" spans="3:30" ht="9.75" hidden="1" customHeight="1">
      <c r="C84" s="130"/>
      <c r="D84" s="44"/>
      <c r="E84" s="44"/>
      <c r="F84" s="44"/>
      <c r="G84" s="44"/>
      <c r="H84" s="44"/>
      <c r="I84" s="45"/>
      <c r="J84" s="44"/>
      <c r="K84" s="44"/>
      <c r="L84" s="44"/>
      <c r="M84" s="45"/>
      <c r="N84" s="46"/>
      <c r="O84" s="45"/>
      <c r="P84" s="46"/>
      <c r="Q84" s="45"/>
      <c r="R84" s="44"/>
      <c r="S84" s="44"/>
      <c r="T84" s="44"/>
      <c r="U84" s="44"/>
      <c r="V84" s="44"/>
      <c r="W84" s="44"/>
      <c r="X84" s="44"/>
      <c r="Y84" s="7"/>
      <c r="Z84" s="7"/>
      <c r="AB84" s="140"/>
      <c r="AC84" s="147"/>
      <c r="AD84" s="7"/>
    </row>
    <row r="85" spans="3:30" hidden="1"/>
    <row r="86" spans="3:30" hidden="1"/>
    <row r="87" spans="3:30" hidden="1"/>
    <row r="88" spans="3:30" hidden="1"/>
    <row r="89" spans="3:30" hidden="1"/>
    <row r="90" spans="3:30" hidden="1"/>
    <row r="91" spans="3:30" hidden="1"/>
    <row r="92" spans="3:30" hidden="1"/>
    <row r="93" spans="3:30" hidden="1"/>
    <row r="94" spans="3:30" hidden="1"/>
    <row r="95" spans="3:30" hidden="1"/>
    <row r="96" spans="3:30" hidden="1"/>
    <row r="97" hidden="1"/>
    <row r="98" hidden="1"/>
    <row r="99" hidden="1"/>
    <row r="100" hidden="1"/>
    <row r="101" hidden="1"/>
    <row r="102" hidden="1"/>
    <row r="103" hidden="1"/>
  </sheetData>
  <dataConsolidate/>
  <mergeCells count="21">
    <mergeCell ref="H30:L30"/>
    <mergeCell ref="D58:F58"/>
    <mergeCell ref="K55:M55"/>
    <mergeCell ref="T55:X55"/>
    <mergeCell ref="O55:S55"/>
    <mergeCell ref="Q2:X3"/>
    <mergeCell ref="P2:P3"/>
    <mergeCell ref="M30:X30"/>
    <mergeCell ref="T36:T38"/>
    <mergeCell ref="M5:N5"/>
    <mergeCell ref="O5:P5"/>
    <mergeCell ref="Q5:R5"/>
    <mergeCell ref="T5:U5"/>
    <mergeCell ref="W5:X5"/>
    <mergeCell ref="D2:M3"/>
    <mergeCell ref="E5:F5"/>
    <mergeCell ref="G5:H5"/>
    <mergeCell ref="I5:J5"/>
    <mergeCell ref="K5:L5"/>
    <mergeCell ref="D30:G30"/>
    <mergeCell ref="N2:O3"/>
  </mergeCells>
  <conditionalFormatting sqref="AA12:AA26">
    <cfRule type="cellIs" dxfId="4" priority="7" stopIfTrue="1" operator="lessThan">
      <formula>0</formula>
    </cfRule>
    <cfRule type="cellIs" dxfId="3" priority="8" stopIfTrue="1" operator="greaterThan">
      <formula>0</formula>
    </cfRule>
  </conditionalFormatting>
  <conditionalFormatting sqref="W8:W26">
    <cfRule type="containsText" dxfId="2" priority="2" operator="containsText" text="q">
      <formula>NOT(ISERROR(SEARCH("q",W8)))</formula>
    </cfRule>
    <cfRule type="containsText" dxfId="1" priority="1" operator="containsText" text="p">
      <formula>NOT(ISERROR(SEARCH("p",W8)))</formula>
    </cfRule>
  </conditionalFormatting>
  <conditionalFormatting sqref="W7">
    <cfRule type="cellIs" dxfId="0" priority="3" operator="equal">
      <formula>$W$8</formula>
    </cfRule>
  </conditionalFormatting>
  <printOptions horizontalCentered="1"/>
  <pageMargins left="0.24" right="0.28000000000000003" top="0.26" bottom="0.19" header="0.27" footer="0.2"/>
  <pageSetup paperSize="9" orientation="portrait" r:id="rId1"/>
  <drawing r:id="rId2"/>
  <webPublishItems count="1">
    <webPublishItem id="103" divId="DCRC_Custos_Area_103" sourceType="sheet" destinationFile="C:\Documents and Settings\adgeral\Desktop\DCRC_Custos_Area.html"/>
  </webPublishItem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B4C65DFCC82D9408CB87C25E8038A99" ma:contentTypeVersion="0" ma:contentTypeDescription="Crie um novo documento." ma:contentTypeScope="" ma:versionID="71313e15c804190a7c4b2646c7ec5173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6017FDE5-032A-4EF7-BD8A-D216AF4554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0BC2CF-C5A9-4834-8A6F-522989D710F9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D5ABA7D1-31A8-49D0-9E25-70D8EBC323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DCRC_Custos_Area</vt:lpstr>
      <vt:lpstr>DCRC_Custos_Area!Print_Area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Carubbi Neto</dc:creator>
  <cp:lastModifiedBy>adesktop</cp:lastModifiedBy>
  <dcterms:created xsi:type="dcterms:W3CDTF">2009-12-01T16:36:49Z</dcterms:created>
  <dcterms:modified xsi:type="dcterms:W3CDTF">2010-07-06T18:36:27Z</dcterms:modified>
</cp:coreProperties>
</file>